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gnc\Desktop\"/>
    </mc:Choice>
  </mc:AlternateContent>
  <xr:revisionPtr revIDLastSave="0" documentId="8_{5411DCFA-04ED-4283-9D2F-71AA7933AB6C}" xr6:coauthVersionLast="47" xr6:coauthVersionMax="47" xr10:uidLastSave="{00000000-0000-0000-0000-000000000000}"/>
  <bookViews>
    <workbookView xWindow="-108" yWindow="-108" windowWidth="23256" windowHeight="12456" firstSheet="1" activeTab="3" xr2:uid="{CF56C383-8828-4162-A0FD-715ACDCAE834}"/>
  </bookViews>
  <sheets>
    <sheet name="PivotCharts" sheetId="5" state="hidden" r:id="rId1"/>
    <sheet name="SalesData" sheetId="1" r:id="rId2"/>
    <sheet name="Targets" sheetId="3" state="hidden" r:id="rId3"/>
    <sheet name="Dashboard" sheetId="2" r:id="rId4"/>
    <sheet name="Analysis" sheetId="4" state="hidden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/>
  <c r="B4" i="2"/>
  <c r="F4" i="2" s="1"/>
  <c r="I8" i="4" a="1"/>
  <c r="I8" i="4" s="1"/>
  <c r="I7" i="4" a="1"/>
  <c r="I7" i="4" s="1"/>
  <c r="I6" i="4" a="1"/>
  <c r="I6" i="4" s="1"/>
  <c r="I5" i="4" a="1"/>
  <c r="I5" i="4" s="1"/>
  <c r="I4" i="4" a="1"/>
  <c r="I4" i="4" s="1"/>
  <c r="I3" i="4" a="1"/>
  <c r="I3" i="4" s="1"/>
  <c r="I2" i="4" a="1"/>
  <c r="I2" i="4" s="1"/>
  <c r="B11" i="4" a="1"/>
  <c r="B11" i="4" s="1"/>
  <c r="B10" i="4" a="1"/>
  <c r="B10" i="4" s="1"/>
  <c r="B9" i="4" a="1"/>
  <c r="B9" i="4" s="1"/>
  <c r="E4" i="4" a="1"/>
  <c r="E4" i="4" s="1"/>
  <c r="E3" i="4" a="1"/>
  <c r="E3" i="4" s="1"/>
  <c r="E6" i="4" a="1"/>
  <c r="E6" i="4" s="1"/>
  <c r="E2" i="4" a="1"/>
  <c r="E2" i="4" s="1"/>
  <c r="E5" i="4" a="1"/>
  <c r="E5" i="4" s="1"/>
  <c r="B5" i="4" a="1"/>
  <c r="B5" i="4" s="1"/>
  <c r="B4" i="4" a="1"/>
  <c r="B4" i="4" s="1"/>
  <c r="B3" i="4" a="1"/>
  <c r="B3" i="4" s="1"/>
  <c r="B2" i="4" a="1"/>
  <c r="B2" i="4" s="1"/>
  <c r="J3" i="4"/>
  <c r="J4" i="4"/>
  <c r="J5" i="4"/>
  <c r="J6" i="4"/>
  <c r="J7" i="4"/>
  <c r="J8" i="4"/>
  <c r="J2" i="4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K8" i="4" l="1"/>
  <c r="K2" i="4"/>
  <c r="K3" i="4"/>
  <c r="K4" i="4"/>
  <c r="K5" i="4"/>
  <c r="K6" i="4"/>
  <c r="K7" i="4"/>
  <c r="H4" i="2"/>
  <c r="F6" i="4"/>
  <c r="F4" i="4"/>
  <c r="F5" i="4"/>
  <c r="F2" i="4"/>
  <c r="F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<sst xmlns="http://schemas.openxmlformats.org/spreadsheetml/2006/main" count="320" uniqueCount="105">
  <si>
    <t>Order ID</t>
  </si>
  <si>
    <t>Date</t>
  </si>
  <si>
    <t>Salesperson</t>
  </si>
  <si>
    <t>Region</t>
  </si>
  <si>
    <t>Category</t>
  </si>
  <si>
    <t>Product</t>
  </si>
  <si>
    <t>Unit Sold</t>
  </si>
  <si>
    <t>Unit Price</t>
  </si>
  <si>
    <t>Revenue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</si>
  <si>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</si>
  <si>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</si>
  <si>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</si>
  <si>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</si>
  <si>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</si>
  <si>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</si>
  <si>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</si>
  <si>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</si>
  <si>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</si>
  <si>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</si>
  <si>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</si>
  <si>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</si>
  <si>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</si>
  <si>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</si>
  <si>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</si>
  <si>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</si>
  <si>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</si>
  <si>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</si>
  <si>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</si>
  <si>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</si>
  <si>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</si>
  <si>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</si>
  <si>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</si>
  <si>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</si>
  <si>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</si>
  <si>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</si>
  <si>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</si>
  <si>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</si>
  <si>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</si>
  <si>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</si>
  <si>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</si>
  <si>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</si>
  <si>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</si>
  <si>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</si>
  <si>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</si>
  <si>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</si>
  <si>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</si>
  <si>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</si>
  <si>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</si>
  <si>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</si>
  <si>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</si>
  <si>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</si>
  <si>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</si>
  <si>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</si>
  <si>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</si>
  <si>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</si>
  <si>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</si>
  <si>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</si>
  <si>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</si>
  <si>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</si>
  <si>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Rahul Sharma</t>
  </si>
  <si>
    <t>Priya Singh</t>
  </si>
  <si>
    <t>Amit Patel</t>
  </si>
  <si>
    <t>Neha Gupta</t>
  </si>
  <si>
    <t>Vikram Joshi</t>
  </si>
  <si>
    <t>Sonia Mehta</t>
  </si>
  <si>
    <t>North</t>
  </si>
  <si>
    <t>South</t>
  </si>
  <si>
    <t>West</t>
  </si>
  <si>
    <t>East</t>
  </si>
  <si>
    <t xml:space="preserve">North </t>
  </si>
  <si>
    <t>Noth</t>
  </si>
  <si>
    <t>Electronics</t>
  </si>
  <si>
    <t>Clothing</t>
  </si>
  <si>
    <t>Furniture</t>
  </si>
  <si>
    <t>Laptop</t>
  </si>
  <si>
    <t>Mobile</t>
  </si>
  <si>
    <t>Office Chair</t>
  </si>
  <si>
    <t>Tablet</t>
  </si>
  <si>
    <t>Study Table</t>
  </si>
  <si>
    <t>Formal Wear</t>
  </si>
  <si>
    <t>Casual Wear</t>
  </si>
  <si>
    <t>Sofa Set</t>
  </si>
  <si>
    <t>Month</t>
  </si>
  <si>
    <t>Revenue Target</t>
  </si>
  <si>
    <t>Jan</t>
  </si>
  <si>
    <t>Feb</t>
  </si>
  <si>
    <t>Mar</t>
  </si>
  <si>
    <t>Apr</t>
  </si>
  <si>
    <t>May</t>
  </si>
  <si>
    <t>Jun</t>
  </si>
  <si>
    <t>Jul</t>
  </si>
  <si>
    <t>Total Revenue</t>
  </si>
  <si>
    <t>Rank</t>
  </si>
  <si>
    <t>Actual Revenue</t>
  </si>
  <si>
    <t>Target</t>
  </si>
  <si>
    <t>Achievement %</t>
  </si>
  <si>
    <t>Sales Performance Dashboard 2025</t>
  </si>
  <si>
    <t>Total Units Sold</t>
  </si>
  <si>
    <t>Avg Order Value</t>
  </si>
  <si>
    <t>Top Salesperson</t>
  </si>
  <si>
    <t>Row Labels</t>
  </si>
  <si>
    <t>Grand Total</t>
  </si>
  <si>
    <t>Sum of Revenue</t>
  </si>
  <si>
    <t>Made By Prabhgun Kaur . 2025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</si>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</sst>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7"/>
      <color rgb="FF3D3D3A"/>
      <name val="Segoe UI"/>
      <family val="2"/>
    </font>
    <font>
      <b/>
      <sz val="11"/>
      <color theme="1"/>
      <name val="Calibri"/>
      <family val="2"/>
      <scheme val="minor"/>
    </font>
    <font>
      <sz val="7"/>
      <color rgb="FF141413"/>
      <name val="Courier New"/>
      <family val="3"/>
    </font>
    <font>
      <sz val="11"/>
      <color rgb="FF00206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5"/>
      <name val="Calibri"/>
      <family val="2"/>
      <scheme val="minor"/>
    </font>
    <font>
      <sz val="7"/>
      <color rgb="FF085041"/>
      <name val="Courier New"/>
      <family val="3"/>
    </font>
    <font>
      <b/>
      <sz val="16"/>
      <color theme="0"/>
      <name val="Calibri"/>
      <family val="2"/>
      <scheme val="minor"/>
    </font>
    <font>
      <b/>
      <sz val="18"/>
      <color rgb="FF141413"/>
      <name val="Courier New"/>
      <family val="3"/>
    </font>
    <font>
      <sz val="7"/>
      <color rgb="FF3D3D3A"/>
      <name val="Courier New"/>
      <family val="3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141413"/>
      <name val="Courier New"/>
      <family val="3"/>
    </font>
    <font>
      <b/>
      <sz val="36"/>
      <color rgb="FF002060"/>
      <name val="Calibri"/>
      <family val="2"/>
      <scheme val="minor"/>
    </font>
    <font>
      <sz val="7"/>
      <color rgb="FF79C0FF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3" fillId="0" borderId="0" xfId="0" applyFont="1"/>
    <xf numFmtId="0" fontId="5" fillId="0" borderId="0" xfId="0" applyFont="1"/>
    <xf numFmtId="0" fontId="6" fillId="3" borderId="0" xfId="0" applyFont="1" applyFill="1"/>
    <xf numFmtId="0" fontId="7" fillId="3" borderId="0" xfId="0" applyFont="1" applyFill="1"/>
    <xf numFmtId="0" fontId="8" fillId="3" borderId="0" xfId="0" applyFont="1" applyFill="1"/>
    <xf numFmtId="0" fontId="9" fillId="0" borderId="0" xfId="0" applyFont="1"/>
    <xf numFmtId="9" fontId="9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12" fillId="0" borderId="0" xfId="0" applyFont="1"/>
    <xf numFmtId="0" fontId="0" fillId="5" borderId="0" xfId="0" applyFill="1"/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11" fillId="9" borderId="0" xfId="0" applyFont="1" applyFill="1"/>
    <xf numFmtId="0" fontId="4" fillId="10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164" fontId="16" fillId="6" borderId="0" xfId="0" applyNumberFormat="1" applyFont="1" applyFill="1"/>
    <xf numFmtId="164" fontId="16" fillId="8" borderId="0" xfId="0" applyNumberFormat="1" applyFont="1" applyFill="1"/>
    <xf numFmtId="0" fontId="17" fillId="5" borderId="0" xfId="0" applyFont="1" applyFill="1"/>
    <xf numFmtId="0" fontId="0" fillId="7" borderId="0" xfId="0" applyFill="1"/>
    <xf numFmtId="0" fontId="18" fillId="0" borderId="0" xfId="0" applyFont="1"/>
    <xf numFmtId="0" fontId="14" fillId="4" borderId="0" xfId="0" applyFont="1" applyFill="1" applyAlignment="1">
      <alignment horizontal="center"/>
    </xf>
    <xf numFmtId="0" fontId="17" fillId="5" borderId="0" xfId="0" applyFont="1" applyFill="1" applyAlignment="1">
      <alignment horizontal="center"/>
    </xf>
  </cellXfs>
  <cellStyles count="1">
    <cellStyle name="Normal" xfId="0" builtinId="0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</dxf>
  </dxfs>
  <tableStyles count="0" defaultTableStyle="TableStyleMedium2" defaultPivotStyle="PivotStyleLight16"/>
  <colors>
    <mruColors>
      <color rgb="FFFF66FF"/>
      <color rgb="FFCC3399"/>
      <color rgb="FF990000"/>
      <color rgb="FFFF5050"/>
      <color rgb="FFFF3300"/>
      <color rgb="FF003300"/>
      <color rgb="FF660066"/>
      <color rgb="FF990033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Revenue</a:t>
            </a:r>
            <a:r>
              <a:rPr lang="en-IN" baseline="0">
                <a:solidFill>
                  <a:schemeClr val="tx1"/>
                </a:solidFill>
              </a:rPr>
              <a:t> By Region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6613288"/>
        <c:axId val="566632368"/>
      </c:barChart>
      <c:catAx>
        <c:axId val="566613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632368"/>
        <c:crosses val="autoZero"/>
        <c:auto val="1"/>
        <c:lblAlgn val="ctr"/>
        <c:lblOffset val="100"/>
        <c:noMultiLvlLbl val="0"/>
      </c:catAx>
      <c:valAx>
        <c:axId val="566632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613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Sales</a:t>
            </a:r>
            <a:r>
              <a:rPr lang="en-IN" baseline="0">
                <a:solidFill>
                  <a:schemeClr val="tx1"/>
                </a:solidFill>
              </a:rPr>
              <a:t> Leaderboard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6649288"/>
        <c:axId val="566646408"/>
      </c:barChart>
      <c:catAx>
        <c:axId val="566649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646408"/>
        <c:crosses val="autoZero"/>
        <c:auto val="1"/>
        <c:lblAlgn val="ctr"/>
        <c:lblOffset val="100"/>
        <c:noMultiLvlLbl val="0"/>
      </c:catAx>
      <c:valAx>
        <c:axId val="566646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64928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Sales</a:t>
            </a:r>
            <a:r>
              <a:rPr lang="en-IN" baseline="0">
                <a:solidFill>
                  <a:schemeClr val="tx1"/>
                </a:solidFill>
              </a:rPr>
              <a:t> By Category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Analysis!$B$8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solidFill>
                <a:srgbClr val="FF3300">
                  <a:alpha val="80000"/>
                </a:srgbClr>
              </a:solidFill>
            </a:ln>
          </c:spPr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accent1">
                    <a:lumMod val="75000"/>
                    <a:alpha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74-45B0-B09B-3535719F380F}"/>
              </c:ext>
            </c:extLst>
          </c:dPt>
          <c:dPt>
            <c:idx val="1"/>
            <c:bubble3D val="0"/>
            <c:spPr>
              <a:solidFill>
                <a:srgbClr val="990000"/>
              </a:solidFill>
              <a:ln w="19050">
                <a:solidFill>
                  <a:srgbClr val="990000">
                    <a:alpha val="80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74-45B0-B09B-3535719F380F}"/>
              </c:ext>
            </c:extLst>
          </c:dPt>
          <c:dPt>
            <c:idx val="2"/>
            <c:bubble3D val="0"/>
            <c:spPr>
              <a:solidFill>
                <a:srgbClr val="FF5050"/>
              </a:solidFill>
              <a:ln w="19050">
                <a:solidFill>
                  <a:srgbClr val="FF5050">
                    <a:alpha val="80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74-45B0-B09B-3535719F380F}"/>
              </c:ext>
            </c:extLst>
          </c:dPt>
          <c:dLbls>
            <c:dLbl>
              <c:idx val="0"/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4-45B0-B09B-3535719F380F}"/>
                </c:ext>
              </c:extLst>
            </c:dLbl>
            <c:dLbl>
              <c:idx val="1"/>
              <c:layout>
                <c:manualLayout>
                  <c:x val="-0.265647390943832"/>
                  <c:y val="8.731887137590971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159512417865749"/>
                      <c:h val="0.157611455664512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274-45B0-B09B-3535719F380F}"/>
                </c:ext>
              </c:extLst>
            </c:dLbl>
            <c:dLbl>
              <c:idx val="2"/>
              <c:layout>
                <c:manualLayout>
                  <c:x val="4.2630785903736916E-2"/>
                  <c:y val="0.1273750270504219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274-45B0-B09B-3535719F38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Analysis!$A$9:$A$11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</c:strCache>
            </c:strRef>
          </c:cat>
          <c:val>
            <c:numRef>
              <c:f>Analysis!$B$9:$B$11</c:f>
              <c:numCache>
                <c:formatCode>General</c:formatCode>
                <c:ptCount val="3"/>
                <c:pt idx="0">
                  <c:v>5973000</c:v>
                </c:pt>
                <c:pt idx="1">
                  <c:v>1219500</c:v>
                </c:pt>
                <c:pt idx="2">
                  <c:v>528900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74-45B0-B09B-3535719F3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Monthly</a:t>
            </a:r>
            <a:r>
              <a:rPr lang="en-IN" baseline="0">
                <a:solidFill>
                  <a:schemeClr val="tx1"/>
                </a:solidFill>
              </a:rPr>
              <a:t> Revenue vs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Analysis!$I$1</c:f>
              <c:strCache>
                <c:ptCount val="1"/>
                <c:pt idx="0">
                  <c:v>Actual Revenue</c:v>
                </c:pt>
              </c:strCache>
            </c:strRef>
          </c:tx>
          <c:spPr>
            <a:solidFill>
              <a:srgbClr val="003300"/>
            </a:solidFill>
            <a:ln>
              <a:solidFill>
                <a:srgbClr val="0033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Analysis!$H$2:$H$8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Analysis!$I$2:$I$8</c:f>
              <c:numCache>
                <c:formatCode>General</c:formatCode>
                <c:ptCount val="7"/>
                <c:pt idx="0">
                  <c:v>1269000</c:v>
                </c:pt>
                <c:pt idx="1">
                  <c:v>1111500</c:v>
                </c:pt>
                <c:pt idx="2">
                  <c:v>1182000</c:v>
                </c:pt>
                <c:pt idx="3">
                  <c:v>1011000</c:v>
                </c:pt>
                <c:pt idx="4">
                  <c:v>1263400</c:v>
                </c:pt>
                <c:pt idx="5">
                  <c:v>1266500</c:v>
                </c:pt>
                <c:pt idx="6">
                  <c:v>618000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B-48F1-A3BF-C5DF8C903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0111656"/>
        <c:axId val="570119216"/>
      </c:barChart>
      <c:lineChart>
        <c:grouping val="standard"/>
        <c:varyColors val="0"/>
        <c:ser>
          <c:idx val="1"/>
          <c:order val="1"/>
          <c:tx>
            <c:strRef>
              <c:f>Analysis!$J$1</c:f>
              <c:strCache>
                <c:ptCount val="1"/>
                <c:pt idx="0">
                  <c:v>Target</c:v>
                </c:pt>
              </c:strCache>
            </c:strRef>
          </c:tx>
          <c:spPr>
            <a:ln w="31750" cap="rnd">
              <a:solidFill>
                <a:srgbClr val="FF33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Analysis!$H$2:$H$8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Analysis!$J$2:$J$8</c:f>
              <c:numCache>
                <c:formatCode>General</c:formatCode>
                <c:ptCount val="7"/>
                <c:pt idx="0">
                  <c:v>1200000</c:v>
                </c:pt>
                <c:pt idx="1">
                  <c:v>1150000</c:v>
                </c:pt>
                <c:pt idx="2">
                  <c:v>1100000</c:v>
                </c:pt>
                <c:pt idx="3">
                  <c:v>1050000</c:v>
                </c:pt>
                <c:pt idx="4">
                  <c:v>1300000</c:v>
                </c:pt>
                <c:pt idx="5">
                  <c:v>1200000</c:v>
                </c:pt>
                <c:pt idx="6">
                  <c:v>700000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3B-48F1-A3BF-C5DF8C903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111656"/>
        <c:axId val="570119216"/>
      </c:lineChart>
      <c:catAx>
        <c:axId val="570111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19216"/>
        <c:crosses val="autoZero"/>
        <c:auto val="1"/>
        <c:lblAlgn val="ctr"/>
        <c:lblOffset val="100"/>
        <c:noMultiLvlLbl val="0"/>
      </c:catAx>
      <c:valAx>
        <c:axId val="570119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11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Revenue</a:t>
            </a:r>
            <a:r>
              <a:rPr lang="en-IN" baseline="0">
                <a:solidFill>
                  <a:schemeClr val="tx1"/>
                </a:solidFill>
              </a:rPr>
              <a:t> By Region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002060"/>
            </a:solidFill>
            <a:ln>
              <a:solidFill>
                <a:schemeClr val="accent1">
                  <a:lumMod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Analysis!$B$2:$B$5</c:f>
              <c:numCache>
                <c:formatCode>General</c:formatCode>
                <c:ptCount val="4"/>
                <c:pt idx="0">
                  <c:v>2067000</c:v>
                </c:pt>
                <c:pt idx="1">
                  <c:v>1407400</c:v>
                </c:pt>
                <c:pt idx="2">
                  <c:v>1550000</c:v>
                </c:pt>
                <c:pt idx="3">
                  <c:v>2457000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4-4BC2-AA1E-6277EC3863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70158816"/>
        <c:axId val="570157016"/>
      </c:barChart>
      <c:catAx>
        <c:axId val="570158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57016"/>
        <c:crosses val="autoZero"/>
        <c:auto val="1"/>
        <c:lblAlgn val="ctr"/>
        <c:lblOffset val="100"/>
        <c:noMultiLvlLbl val="0"/>
      </c:catAx>
      <c:valAx>
        <c:axId val="570157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5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Sales</a:t>
            </a:r>
            <a:r>
              <a:rPr lang="en-IN" baseline="0">
                <a:solidFill>
                  <a:schemeClr val="tx1"/>
                </a:solidFill>
              </a:rPr>
              <a:t> Leaderboard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CC33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Analysis!$D$2:$D$6</c:f>
              <c:strCache>
                <c:ptCount val="5"/>
                <c:pt idx="0">
                  <c:v>Priya Singh</c:v>
                </c:pt>
                <c:pt idx="1">
                  <c:v>Vikram Joshi</c:v>
                </c:pt>
                <c:pt idx="2">
                  <c:v>Sonia Mehta</c:v>
                </c:pt>
                <c:pt idx="3">
                  <c:v>Rahul Sharma</c:v>
                </c:pt>
                <c:pt idx="4">
                  <c:v>Amit Patel</c:v>
                </c:pt>
              </c:strCache>
            </c:strRef>
          </c:cat>
          <c:val>
            <c:numRef>
              <c:f>Analysis!$E$2:$E$6</c:f>
              <c:numCache>
                <c:formatCode>General</c:formatCode>
                <c:ptCount val="5"/>
                <c:pt idx="0">
                  <c:v>1407400</c:v>
                </c:pt>
                <c:pt idx="1">
                  <c:v>1385000</c:v>
                </c:pt>
                <c:pt idx="2">
                  <c:v>1221000</c:v>
                </c:pt>
                <c:pt idx="3">
                  <c:v>1086000</c:v>
                </c:pt>
                <c:pt idx="4">
                  <c:v>1072000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B9-409A-9FE4-732FAC545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0102296"/>
        <c:axId val="570099056"/>
      </c:barChart>
      <c:catAx>
        <c:axId val="570102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099056"/>
        <c:crosses val="autoZero"/>
        <c:auto val="1"/>
        <c:lblAlgn val="ctr"/>
        <c:lblOffset val="100"/>
        <c:noMultiLvlLbl val="0"/>
      </c:catAx>
      <c:valAx>
        <c:axId val="570099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02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356590</xdr:colOff>
      <xdr:row>80</xdr:row>
      <xdr:rowOff>81495</xdr:rowOff>
    </xdr:from>
    <xdr:to>
      <xdr:col>5</xdr:col>
      <xdr:colOff>1214034</xdr:colOff>
      <xdr:row>95</xdr:row>
      <xdr:rowOff>77492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61335E-FCC4-49C9-97A0-369BA2275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</xdr:colOff>
      <xdr:row>23</xdr:row>
      <xdr:rowOff>175260</xdr:rowOff>
    </xdr:from>
    <xdr:to>
      <xdr:col>11</xdr:col>
      <xdr:colOff>601980</xdr:colOff>
      <xdr:row>38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80AA86-50F7-475B-8454-A75649902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15239</xdr:colOff>
      <xdr:row>6</xdr:row>
      <xdr:rowOff>0</xdr:rowOff>
    </xdr:from>
    <xdr:to>
      <xdr:col>13</xdr:col>
      <xdr:colOff>399732</xdr:colOff>
      <xdr:row>21</xdr:row>
      <xdr:rowOff>61644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11B646-E134-4C61-A880-7FAD88F45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260053</xdr:colOff>
      <xdr:row>5</xdr:row>
      <xdr:rowOff>137090</xdr:rowOff>
    </xdr:from>
    <xdr:to>
      <xdr:col>7</xdr:col>
      <xdr:colOff>100838</xdr:colOff>
      <xdr:row>21</xdr:row>
      <xdr:rowOff>10844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E68D92F-5190-483C-A87E-990832DA2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581186</xdr:colOff>
      <xdr:row>23</xdr:row>
      <xdr:rowOff>129152</xdr:rowOff>
    </xdr:from>
    <xdr:to>
      <xdr:col>5</xdr:col>
      <xdr:colOff>1404090</xdr:colOff>
      <xdr:row>39</xdr:row>
      <xdr:rowOff>2906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24F7B75-A8D4-4414-A297-ABF9F9EAF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813660</xdr:colOff>
      <xdr:row>23</xdr:row>
      <xdr:rowOff>129152</xdr:rowOff>
    </xdr:from>
    <xdr:to>
      <xdr:col>14</xdr:col>
      <xdr:colOff>592729</xdr:colOff>
      <xdr:row>39</xdr:row>
      <xdr:rowOff>2906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E4E9C37-128B-4A65-AE71-0EDEF987F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reet" refreshedDate="46178.181573495371" createdVersion="8" refreshedVersion="8" minRefreshableVersion="3" recordCount="50" xr:uid="{DE6F5AE1-B36E-4C34-BA59-6ECCBC737CA1}">
  <cacheSource type="worksheet">
    <worksheetSource name="tblSales"/>
  </cacheSource>
  <cacheFields count="11">
    <cacheField name="Order ID" numFmtId="0">
      <sharedItems/>
    </cacheField>
    <cacheField name="Date" numFmtId="14">
      <sharedItems containsSemiMixedTypes="0" containsNonDate="0" containsDate="1" containsString="0" minDate="2025-01-02T00:00:00" maxDate="2025-07-11T00:00:00" count="50">
        <d v="2025-01-02T00:00:00"/>
        <d v="2025-01-05T00:00:00"/>
        <d v="2025-01-08T00:00:00"/>
        <d v="2025-01-10T00:00:00"/>
        <d v="2025-01-14T00:00:00"/>
        <d v="2025-01-18T00:00:00"/>
        <d v="2025-01-22T00:00:00"/>
        <d v="2025-01-26T00:00:00"/>
        <d v="2025-01-29T00:00:00"/>
        <d v="2025-01-31T00:00:00"/>
        <d v="2025-02-03T00:00:00"/>
        <d v="2025-02-07T00:00:00"/>
        <d v="2025-02-11T00:00:00"/>
        <d v="2025-02-14T00:00:00"/>
        <d v="2025-02-18T00:00:00"/>
        <d v="2025-02-21T00:00:00"/>
        <d v="2025-02-25T00:00:00"/>
        <d v="2025-02-28T00:00:00"/>
        <d v="2025-03-04T00:00:00"/>
        <d v="2025-03-08T00:00:00"/>
        <d v="2025-03-12T00:00:00"/>
        <d v="2025-03-15T00:00:00"/>
        <d v="2025-03-19T00:00:00"/>
        <d v="2025-03-22T00:00:00"/>
        <d v="2025-03-28T00:00:00"/>
        <d v="2025-04-02T00:00:00"/>
        <d v="2025-04-07T00:00:00"/>
        <d v="2025-04-11T00:00:00"/>
        <d v="2025-04-15T00:00:00"/>
        <d v="2025-04-19T00:00:00"/>
        <d v="2025-04-23T00:00:00"/>
        <d v="2025-04-28T00:00:00"/>
        <d v="2025-05-02T00:00:00"/>
        <d v="2025-05-06T00:00:00"/>
        <d v="2025-05-10T00:00:00"/>
        <d v="2025-05-14T00:00:00"/>
        <d v="2025-05-18T00:00:00"/>
        <d v="2025-05-22T00:00:00"/>
        <d v="2025-05-26T00:00:00"/>
        <d v="2025-05-30T00:00:00"/>
        <d v="2025-06-04T00:00:00"/>
        <d v="2025-06-09T00:00:00"/>
        <d v="2025-06-13T00:00:00"/>
        <d v="2025-06-17T00:00:00"/>
        <d v="2025-06-21T00:00:00"/>
        <d v="2025-06-25T00:00:00"/>
        <d v="2025-06-28T00:00:00"/>
        <d v="2025-07-02T00:00:00"/>
        <d v="2025-07-06T00:00:00"/>
        <d v="2025-07-10T00:00:00"/>
      </sharedItems>
      <fieldGroup par="10"/>
    </cacheField>
    <cacheField name="Salesperson" numFmtId="0">
      <sharedItems/>
    </cacheField>
    <cacheField name="Region" numFmtId="0">
      <sharedItems/>
    </cacheField>
    <cacheField name="Category" numFmtId="0">
      <sharedItems/>
    </cacheField>
    <cacheField name="Product" numFmtId="0">
      <sharedItems/>
    </cacheField>
    <cacheField name="Unit Sold" numFmtId="0">
      <sharedItems containsSemiMixedTypes="0" containsString="0" containsNumber="1" containsInteger="1" minValue="2" maxValue="40"/>
    </cacheField>
    <cacheField name="Unit Price" numFmtId="0">
      <sharedItems containsSemiMixedTypes="0" containsString="0" containsNumber="1" containsInteger="1" minValue="1800" maxValue="55000"/>
    </cacheField>
    <cacheField name="Revenue" numFmtId="0">
      <sharedItems containsSemiMixedTypes="0" containsString="0" containsNumber="1" containsInteger="1" minValue="27000" maxValue="385000"/>
    </cacheField>
    <cacheField name="Days (Date)" numFmtId="0" databaseField="0">
      <fieldGroup base="1">
        <rangePr groupBy="days" startDate="2025-01-02T00:00:00" endDate="2025-07-11T00:00:00"/>
        <groupItems count="368">
          <s v="&lt;02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07-2025"/>
        </groupItems>
      </fieldGroup>
    </cacheField>
    <cacheField name="Months (Date)" numFmtId="0" databaseField="0">
      <fieldGroup base="1">
        <rangePr groupBy="months" startDate="2025-01-02T00:00:00" endDate="2025-07-11T00:00:00"/>
        <groupItems count="14">
          <s v="&lt;02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ORD001"/>
    <x v="0"/>
    <s v="Rahul Sharma"/>
    <s v="North"/>
    <s v="Electronics"/>
    <s v="Laptop"/>
    <n v="5"/>
    <n v="55000"/>
    <n v="275000"/>
  </r>
  <r>
    <s v="ORD002"/>
    <x v="1"/>
    <s v="Priya Singh"/>
    <s v="South"/>
    <s v="Electronics"/>
    <s v="Mobile"/>
    <n v="12"/>
    <n v="18000"/>
    <n v="216000"/>
  </r>
  <r>
    <s v="ORD003"/>
    <x v="2"/>
    <s v="Amit Patel"/>
    <s v="West"/>
    <s v="Furniture"/>
    <s v="Office Chair"/>
    <n v="8"/>
    <n v="8500"/>
    <n v="68000"/>
  </r>
  <r>
    <s v="ORD004"/>
    <x v="3"/>
    <s v="Neha Gupta"/>
    <s v="East"/>
    <s v="Electronics"/>
    <s v="Tablet"/>
    <n v="6"/>
    <n v="25000"/>
    <n v="150000"/>
  </r>
  <r>
    <s v="ORD005"/>
    <x v="4"/>
    <s v="Rahul Sharma"/>
    <s v="North"/>
    <s v="Furniture"/>
    <s v="Study Table"/>
    <n v="4"/>
    <n v="12000"/>
    <n v="48000"/>
  </r>
  <r>
    <s v="ORD006"/>
    <x v="5"/>
    <s v="Priya Singh"/>
    <s v="South"/>
    <s v="Clothing"/>
    <s v="Formal Wear"/>
    <n v="20"/>
    <n v="2500"/>
    <n v="50000"/>
  </r>
  <r>
    <s v="ORD007"/>
    <x v="6"/>
    <s v="Vikram Joshi"/>
    <s v="West"/>
    <s v="Electronics"/>
    <s v="Laptop"/>
    <n v="3"/>
    <n v="55000"/>
    <n v="165000"/>
  </r>
  <r>
    <s v="ORD008"/>
    <x v="7"/>
    <s v="Neha Gupta"/>
    <s v="East"/>
    <s v="Clothing"/>
    <s v="Casual Wear"/>
    <n v="15"/>
    <n v="1800"/>
    <n v="27000"/>
  </r>
  <r>
    <s v="ORD009"/>
    <x v="8"/>
    <s v="Amit Patel"/>
    <s v="West"/>
    <s v="Electronics"/>
    <s v="Mobile"/>
    <n v="10"/>
    <n v="18000"/>
    <n v="180000"/>
  </r>
  <r>
    <s v="ORD010"/>
    <x v="9"/>
    <s v="Sonia Mehta"/>
    <s v="North "/>
    <s v="Furniture"/>
    <s v="Sofa Set"/>
    <n v="2"/>
    <n v="45000"/>
    <n v="90000"/>
  </r>
  <r>
    <s v="ORD011"/>
    <x v="10"/>
    <s v="Rahul Sharma"/>
    <s v="North"/>
    <s v="Electronics"/>
    <s v="Mobile"/>
    <n v="8"/>
    <n v="18000"/>
    <n v="144000"/>
  </r>
  <r>
    <s v="ORD012"/>
    <x v="11"/>
    <s v="Priya Singh"/>
    <s v="South"/>
    <s v="Furniture"/>
    <s v="Office Chair"/>
    <n v="6"/>
    <n v="8500"/>
    <n v="51000"/>
  </r>
  <r>
    <s v="ORD013"/>
    <x v="12"/>
    <s v="Vikram Joshi"/>
    <s v="West"/>
    <s v="Clothing"/>
    <s v="Formal Wear"/>
    <n v="25"/>
    <n v="2500"/>
    <n v="62500"/>
  </r>
  <r>
    <s v="ORD014"/>
    <x v="13"/>
    <s v="Neha Gupta"/>
    <s v="East"/>
    <s v="Electronics"/>
    <s v="Laptop"/>
    <n v="4"/>
    <n v="55000"/>
    <n v="220000"/>
  </r>
  <r>
    <s v="ORD015"/>
    <x v="14"/>
    <s v="Sonia Mehta"/>
    <s v="North"/>
    <s v="Electronics"/>
    <s v="Tablet"/>
    <n v="7"/>
    <n v="25000"/>
    <n v="175000"/>
  </r>
  <r>
    <s v="ORD016"/>
    <x v="15"/>
    <s v="Amit Patel"/>
    <s v="West"/>
    <s v="Furniture"/>
    <s v="Sofa Set"/>
    <n v="3"/>
    <n v="45000"/>
    <n v="135000"/>
  </r>
  <r>
    <s v="ORD017"/>
    <x v="16"/>
    <s v="Rahul Sharma"/>
    <s v="North"/>
    <s v="Clothing"/>
    <s v="Casual Wear"/>
    <n v="30"/>
    <n v="1800"/>
    <n v="54000"/>
  </r>
  <r>
    <s v="ORD018"/>
    <x v="17"/>
    <s v="Priya Singh"/>
    <s v="South"/>
    <s v="Electronics"/>
    <s v="Mobile"/>
    <n v="15"/>
    <n v="18000"/>
    <n v="270000"/>
  </r>
  <r>
    <s v="ORD019"/>
    <x v="18"/>
    <s v="Vikram Joshi"/>
    <s v="West"/>
    <s v="Electronics"/>
    <s v="Laptop"/>
    <n v="6"/>
    <n v="55000"/>
    <n v="330000"/>
  </r>
  <r>
    <s v="ORD020"/>
    <x v="19"/>
    <s v="Neha Gupta"/>
    <s v="East"/>
    <s v="Furniture"/>
    <s v="Study Table"/>
    <n v="5"/>
    <n v="12000"/>
    <n v="60000"/>
  </r>
  <r>
    <s v="ORD021"/>
    <x v="20"/>
    <s v="Sonia Mehta"/>
    <s v="North"/>
    <s v="Electronics"/>
    <s v="Mobile"/>
    <n v="10"/>
    <n v="18000"/>
    <n v="180000"/>
  </r>
  <r>
    <s v="ORD022"/>
    <x v="21"/>
    <s v="Amit Patel"/>
    <s v="West"/>
    <s v="Clothing"/>
    <s v="Formal Wear"/>
    <n v="18"/>
    <n v="2500"/>
    <n v="45000"/>
  </r>
  <r>
    <s v="ORD023"/>
    <x v="22"/>
    <s v="Rahul Sharma"/>
    <s v="North"/>
    <s v="Furniture"/>
    <s v="Sofa Set"/>
    <n v="2"/>
    <n v="45000"/>
    <n v="90000"/>
  </r>
  <r>
    <s v="ORD024"/>
    <x v="23"/>
    <s v="Priya Singh"/>
    <s v="South"/>
    <s v="Electronics"/>
    <s v="Tablet"/>
    <n v="9"/>
    <n v="25000"/>
    <n v="225000"/>
  </r>
  <r>
    <s v="ORD025"/>
    <x v="24"/>
    <s v="Vikram Joshi"/>
    <s v="West"/>
    <s v="Electronics"/>
    <s v="Mobile"/>
    <n v="14"/>
    <n v="18000"/>
    <n v="252000"/>
  </r>
  <r>
    <s v="ORD026"/>
    <x v="25"/>
    <s v="Neha Gupta"/>
    <s v="East"/>
    <s v="Electronics"/>
    <s v="Laptop"/>
    <n v="5"/>
    <n v="55000"/>
    <n v="275000"/>
  </r>
  <r>
    <s v="ORD027"/>
    <x v="26"/>
    <s v="Sonia Mehta"/>
    <s v="North"/>
    <s v="Furniture"/>
    <s v="Office Chair"/>
    <n v="10"/>
    <n v="8500"/>
    <n v="85000"/>
  </r>
  <r>
    <s v="ORD028"/>
    <x v="27"/>
    <s v="Amit Patel"/>
    <s v="West"/>
    <s v="Electronics"/>
    <s v="Tablet"/>
    <n v="8"/>
    <n v="25000"/>
    <n v="200000"/>
  </r>
  <r>
    <s v="ORD029"/>
    <x v="28"/>
    <s v="Rahul Sharma"/>
    <s v="North"/>
    <s v="Clothing"/>
    <s v="Formal Wear"/>
    <n v="22"/>
    <n v="2500"/>
    <n v="55000"/>
  </r>
  <r>
    <s v="ORD030"/>
    <x v="29"/>
    <s v="Priya Singh"/>
    <s v="South"/>
    <s v="Furniture"/>
    <s v="Sofa Set"/>
    <n v="3"/>
    <n v="45000"/>
    <n v="135000"/>
  </r>
  <r>
    <s v="ORD031"/>
    <x v="30"/>
    <s v="Vikram Joshi"/>
    <s v="West"/>
    <s v="Clothing"/>
    <s v="Casual Wear"/>
    <n v="35"/>
    <n v="1800"/>
    <n v="63000"/>
  </r>
  <r>
    <s v="ORD032"/>
    <x v="31"/>
    <s v="Neha Gupta"/>
    <s v="East"/>
    <s v="Electronics"/>
    <s v="Mobile"/>
    <n v="11"/>
    <n v="18000"/>
    <n v="198000"/>
  </r>
  <r>
    <s v="ORD033"/>
    <x v="32"/>
    <s v="Sonia Mehta"/>
    <s v="North"/>
    <s v="Electronics"/>
    <s v="Laptop"/>
    <n v="7"/>
    <n v="55000"/>
    <n v="385000"/>
  </r>
  <r>
    <s v="ORD034"/>
    <x v="33"/>
    <s v="Rahul Sharma"/>
    <s v="Noth"/>
    <s v="Electronics"/>
    <s v="Tablet"/>
    <n v="6"/>
    <n v="25000"/>
    <n v="150000"/>
  </r>
  <r>
    <s v="ORD035"/>
    <x v="34"/>
    <s v="Priya Singh"/>
    <s v="South"/>
    <s v="Clothing"/>
    <s v="Casual Wear"/>
    <n v="28"/>
    <n v="1800"/>
    <n v="50400"/>
  </r>
  <r>
    <s v="ORD036"/>
    <x v="35"/>
    <s v="Amit Patel"/>
    <s v="West"/>
    <s v="Furniture"/>
    <s v="Study Table"/>
    <n v="7"/>
    <n v="12000"/>
    <n v="84000"/>
  </r>
  <r>
    <s v="ORD037"/>
    <x v="36"/>
    <s v="Vikram Joshi"/>
    <s v="West"/>
    <s v="Electronics"/>
    <s v="Laptop"/>
    <n v="4"/>
    <n v="55000"/>
    <n v="220000"/>
  </r>
  <r>
    <s v="ORD038"/>
    <x v="37"/>
    <s v="Neha Gupta"/>
    <s v="East"/>
    <s v="Furniture"/>
    <s v="Sofa Set"/>
    <n v="2"/>
    <n v="45000"/>
    <n v="90000"/>
  </r>
  <r>
    <s v="ORD039"/>
    <x v="38"/>
    <s v="Sonia Mehta"/>
    <s v="North"/>
    <s v="Electronics"/>
    <s v="Mobile"/>
    <n v="13"/>
    <n v="18000"/>
    <n v="234000"/>
  </r>
  <r>
    <s v="ORD040"/>
    <x v="39"/>
    <s v="Rahul Sharma"/>
    <s v="North"/>
    <s v="Clothing"/>
    <s v="Formal Wear"/>
    <n v="20"/>
    <n v="2500"/>
    <n v="50000"/>
  </r>
  <r>
    <s v="ORD041"/>
    <x v="40"/>
    <s v="Priya Singh"/>
    <s v="South"/>
    <s v="Electronics"/>
    <s v="Laptop"/>
    <n v="5"/>
    <n v="55000"/>
    <n v="275000"/>
  </r>
  <r>
    <s v="ORD042"/>
    <x v="41"/>
    <s v="Amit Patel"/>
    <s v="West"/>
    <s v="Electronics"/>
    <s v="Mobile"/>
    <n v="16"/>
    <n v="18000"/>
    <n v="288000"/>
  </r>
  <r>
    <s v="ORD043"/>
    <x v="42"/>
    <s v="Vikram Joshi"/>
    <s v="West"/>
    <s v="Furniture"/>
    <s v="Office Chair"/>
    <n v="9"/>
    <n v="8500"/>
    <n v="76500"/>
  </r>
  <r>
    <s v="ORD044"/>
    <x v="43"/>
    <s v="Neha Gupta"/>
    <s v="East"/>
    <s v="Electronics"/>
    <s v="Tablet"/>
    <n v="8"/>
    <n v="25000"/>
    <n v="200000"/>
  </r>
  <r>
    <s v="ORD045"/>
    <x v="44"/>
    <s v="Sonia Mehta"/>
    <s v="North"/>
    <s v="Furniture"/>
    <s v="Study Table"/>
    <n v="6"/>
    <n v="12000"/>
    <n v="72000"/>
  </r>
  <r>
    <s v="ORD046"/>
    <x v="45"/>
    <s v="Rahul Sharma"/>
    <s v="North"/>
    <s v="Electronics"/>
    <s v="Laptop"/>
    <n v="4"/>
    <n v="55000"/>
    <n v="220000"/>
  </r>
  <r>
    <s v="ORD047"/>
    <x v="46"/>
    <s v="Priya Singh"/>
    <s v="South"/>
    <s v="Furniture"/>
    <s v="Sofa Set"/>
    <n v="3"/>
    <n v="45000"/>
    <n v="135000"/>
  </r>
  <r>
    <s v="ORD048"/>
    <x v="47"/>
    <s v="Amit Patel"/>
    <s v="West"/>
    <s v="Clothing"/>
    <s v="Casual Wear"/>
    <n v="40"/>
    <n v="1800"/>
    <n v="72000"/>
  </r>
  <r>
    <s v="ORD049"/>
    <x v="48"/>
    <s v="Vikram Joshi"/>
    <s v="West"/>
    <s v="Electronics"/>
    <s v="Mobile"/>
    <n v="12"/>
    <n v="18000"/>
    <n v="216000"/>
  </r>
  <r>
    <s v="ORD050"/>
    <x v="49"/>
    <s v="Neha Gupta"/>
    <s v="East"/>
    <s v="Electronics"/>
    <s v="Laptop"/>
    <n v="6"/>
    <n v="55000"/>
    <n v="3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774C3-DA3C-457D-9C51-E85C0C787F3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1" firstHeaderRow="1" firstDataRow="1" firstDataCol="1"/>
  <pivotFields count="11">
    <pivotField showAll="0"/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0"/>
    <field x="9"/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" fld="8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D840E0-3EB1-4110-BC07-3F945621948C}" name="tblSales" displayName="tblSales" ref="A1:I51" totalsRowShown="0" headerRowDxfId="1">
  <autoFilter ref="A1:I51" xr:uid="{FCD840E0-3EB1-4110-BC07-3F945621948C}"/>
  <tableColumns count="9">
    <tableColumn id="1" xr3:uid="{7AAC264D-0878-4454-9D39-0A4658256C91}" name="Order ID"/>
    <tableColumn id="2" xr3:uid="{24E85437-5A94-4319-9FCA-20800387CA2D}" name="Date"/>
    <tableColumn id="3" xr3:uid="{B22F238A-B2E1-43B7-91D4-F7C26F43CE09}" name="Salesperson"/>
    <tableColumn id="4" xr3:uid="{F2E01C0C-9349-440B-9C94-C7AC1421743C}" name="Region"/>
    <tableColumn id="5" xr3:uid="{6E3EEE0A-8532-4DC7-8B72-F19B35BD3C7A}" name="Category"/>
    <tableColumn id="6" xr3:uid="{070060C8-AF8D-455B-83D2-4D04006F5B53}" name="Product"/>
    <tableColumn id="7" xr3:uid="{97CEE1FA-B835-4AE2-85F8-323588E23499}" name="Unit Sold"/>
    <tableColumn id="8" xr3:uid="{A0E3321C-2B4E-464C-9961-DF4D76084EAB}" name="Unit Price"/>
    <tableColumn id="9" xr3:uid="{1C71F1EF-9112-4FBC-ACC6-EEEEA43B3CC0}" name="Revenue" dataDxfId="0">
      <calculatedColumnFormula>G2*H2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3A28C0-EF46-4F77-8EBF-FA72DDC255A2}" name="tblTargets" displayName="tblTargets" ref="A1:B8" totalsRowShown="0">
  <autoFilter ref="A1:B8" xr:uid="{7F3A28C0-EF46-4F77-8EBF-FA72DDC255A2}"/>
  <tableColumns count="2">
    <tableColumn id="1" xr3:uid="{D5085C4F-0BE2-4ABE-A6FF-7B032AE62B1F}" name="Month"/>
    <tableColumn id="2" xr3:uid="{ECF69B5C-CAA5-4C31-8FB5-A6A1D106B568}" name="Revenue 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708A7-18C4-41E0-AD07-D1B8F7D730BE}">
  <dimension ref="A3:B11"/>
  <sheetViews>
    <sheetView workbookViewId="0">
      <selection activeCell="B11" sqref="B11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10" t="s">
        <v>100</v>
      </c>
      <c r="B3" t="s">
        <v>102</v>
      </c>
    </row>
    <row r="4" spans="1:2" x14ac:dyDescent="0.3">
      <c r="A4" s="11" t="s">
        <v>84</v>
      </c>
      <c r="B4">
        <v>1269000</v>
      </c>
    </row>
    <row r="5" spans="1:2" x14ac:dyDescent="0.3">
      <c r="A5" s="11" t="s">
        <v>85</v>
      </c>
      <c r="B5">
        <v>1111500</v>
      </c>
    </row>
    <row r="6" spans="1:2" x14ac:dyDescent="0.3">
      <c r="A6" s="11" t="s">
        <v>86</v>
      </c>
      <c r="B6">
        <v>1182000</v>
      </c>
    </row>
    <row r="7" spans="1:2" x14ac:dyDescent="0.3">
      <c r="A7" s="11" t="s">
        <v>87</v>
      </c>
      <c r="B7">
        <v>1011000</v>
      </c>
    </row>
    <row r="8" spans="1:2" x14ac:dyDescent="0.3">
      <c r="A8" s="11" t="s">
        <v>88</v>
      </c>
      <c r="B8">
        <v>1263400</v>
      </c>
    </row>
    <row r="9" spans="1:2" x14ac:dyDescent="0.3">
      <c r="A9" s="11" t="s">
        <v>89</v>
      </c>
      <c r="B9">
        <v>1266500</v>
      </c>
    </row>
    <row r="10" spans="1:2" x14ac:dyDescent="0.3">
      <c r="A10" s="11" t="s">
        <v>90</v>
      </c>
      <c r="B10">
        <v>618000</v>
      </c>
    </row>
    <row r="11" spans="1:2" x14ac:dyDescent="0.3">
      <c r="A11" s="11" t="s">
        <v>101</v>
      </c>
      <c r="B11">
        <v>7721400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D683D-F15E-4C27-A194-75E79A58C152}">
  <sheetPr>
    <tabColor theme="9" tint="-0.499984740745262"/>
  </sheetPr>
  <dimension ref="A1:K51"/>
  <sheetViews>
    <sheetView zoomScale="57" workbookViewId="0">
      <selection activeCell="Z9" sqref="Z9"/>
    </sheetView>
  </sheetViews>
  <sheetFormatPr defaultRowHeight="14.4" x14ac:dyDescent="0.3"/>
  <cols>
    <col min="1" max="1" width="9.88671875" customWidth="1"/>
    <col min="2" max="2" width="12.77734375" bestFit="1" customWidth="1"/>
    <col min="3" max="3" width="12.88671875" customWidth="1"/>
    <col min="5" max="5" width="10.44140625" customWidth="1"/>
    <col min="6" max="6" width="11.5546875" bestFit="1" customWidth="1"/>
    <col min="7" max="7" width="10.5546875" customWidth="1"/>
    <col min="8" max="8" width="11" customWidth="1"/>
    <col min="9" max="9" width="10.2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7"/>
    </row>
    <row r="2" spans="1:11" x14ac:dyDescent="0.3">
      <c r="A2" t="s">
        <v>9</v>
      </c>
      <c r="B2" s="2">
        <v>45659</v>
      </c>
      <c r="C2" t="s">
        <v>59</v>
      </c>
      <c r="D2" t="s">
        <v>65</v>
      </c>
      <c r="E2" t="s">
        <v>71</v>
      </c>
      <c r="F2" t="s">
        <v>74</v>
      </c>
      <c r="G2">
        <v>5</v>
      </c>
      <c r="H2">
        <v>55000</v>
      </c>
      <c r="I2">
        <f t="shared" ref="I2:I33" si="0">G2*H2</f>
        <v>275000</v>
      </c>
    </row>
    <row r="3" spans="1:11" x14ac:dyDescent="0.3">
      <c r="A3" t="s">
        <v>10</v>
      </c>
      <c r="B3" s="2">
        <v>45662</v>
      </c>
      <c r="C3" t="s">
        <v>60</v>
      </c>
      <c r="D3" t="s">
        <v>66</v>
      </c>
      <c r="E3" t="s">
        <v>71</v>
      </c>
      <c r="F3" t="s">
        <v>75</v>
      </c>
      <c r="G3">
        <v>12</v>
      </c>
      <c r="H3">
        <v>18000</v>
      </c>
      <c r="I3">
        <f t="shared" si="0"/>
        <v>216000</v>
      </c>
    </row>
    <row r="4" spans="1:11" x14ac:dyDescent="0.3">
      <c r="A4" t="s">
        <v>11</v>
      </c>
      <c r="B4" s="2">
        <v>45665</v>
      </c>
      <c r="C4" t="s">
        <v>61</v>
      </c>
      <c r="D4" t="s">
        <v>67</v>
      </c>
      <c r="E4" t="s">
        <v>73</v>
      </c>
      <c r="F4" t="s">
        <v>76</v>
      </c>
      <c r="G4">
        <v>8</v>
      </c>
      <c r="H4">
        <v>8500</v>
      </c>
      <c r="I4">
        <f t="shared" si="0"/>
        <v>68000</v>
      </c>
    </row>
    <row r="5" spans="1:11" x14ac:dyDescent="0.3">
      <c r="A5" t="s">
        <v>12</v>
      </c>
      <c r="B5" s="2">
        <v>45667</v>
      </c>
      <c r="C5" t="s">
        <v>62</v>
      </c>
      <c r="D5" t="s">
        <v>68</v>
      </c>
      <c r="E5" t="s">
        <v>71</v>
      </c>
      <c r="F5" t="s">
        <v>77</v>
      </c>
      <c r="G5">
        <v>6</v>
      </c>
      <c r="H5">
        <v>25000</v>
      </c>
      <c r="I5">
        <f t="shared" si="0"/>
        <v>150000</v>
      </c>
    </row>
    <row r="6" spans="1:11" x14ac:dyDescent="0.3">
      <c r="A6" t="s">
        <v>13</v>
      </c>
      <c r="B6" s="2">
        <v>45671</v>
      </c>
      <c r="C6" t="s">
        <v>59</v>
      </c>
      <c r="D6" t="s">
        <v>65</v>
      </c>
      <c r="E6" t="s">
        <v>73</v>
      </c>
      <c r="F6" t="s">
        <v>78</v>
      </c>
      <c r="G6">
        <v>4</v>
      </c>
      <c r="H6">
        <v>12000</v>
      </c>
      <c r="I6">
        <f t="shared" si="0"/>
        <v>48000</v>
      </c>
    </row>
    <row r="7" spans="1:11" x14ac:dyDescent="0.3">
      <c r="A7" t="s">
        <v>14</v>
      </c>
      <c r="B7" s="2">
        <v>45675</v>
      </c>
      <c r="C7" t="s">
        <v>60</v>
      </c>
      <c r="D7" t="s">
        <v>66</v>
      </c>
      <c r="E7" t="s">
        <v>72</v>
      </c>
      <c r="F7" t="s">
        <v>79</v>
      </c>
      <c r="G7">
        <v>20</v>
      </c>
      <c r="H7">
        <v>2500</v>
      </c>
      <c r="I7">
        <f t="shared" si="0"/>
        <v>50000</v>
      </c>
    </row>
    <row r="8" spans="1:11" x14ac:dyDescent="0.3">
      <c r="A8" t="s">
        <v>15</v>
      </c>
      <c r="B8" s="2">
        <v>45679</v>
      </c>
      <c r="C8" t="s">
        <v>63</v>
      </c>
      <c r="D8" t="s">
        <v>67</v>
      </c>
      <c r="E8" t="s">
        <v>71</v>
      </c>
      <c r="F8" t="s">
        <v>74</v>
      </c>
      <c r="G8">
        <v>3</v>
      </c>
      <c r="H8">
        <v>55000</v>
      </c>
      <c r="I8">
        <f t="shared" si="0"/>
        <v>165000</v>
      </c>
    </row>
    <row r="9" spans="1:11" x14ac:dyDescent="0.3">
      <c r="A9" t="s">
        <v>16</v>
      </c>
      <c r="B9" s="2">
        <v>45683</v>
      </c>
      <c r="C9" t="s">
        <v>62</v>
      </c>
      <c r="D9" t="s">
        <v>68</v>
      </c>
      <c r="E9" t="s">
        <v>72</v>
      </c>
      <c r="F9" t="s">
        <v>80</v>
      </c>
      <c r="G9">
        <v>15</v>
      </c>
      <c r="H9">
        <v>1800</v>
      </c>
      <c r="I9">
        <f t="shared" si="0"/>
        <v>27000</v>
      </c>
    </row>
    <row r="10" spans="1:11" x14ac:dyDescent="0.3">
      <c r="A10" t="s">
        <v>17</v>
      </c>
      <c r="B10" s="2">
        <v>45686</v>
      </c>
      <c r="C10" t="s">
        <v>61</v>
      </c>
      <c r="D10" t="s">
        <v>67</v>
      </c>
      <c r="E10" t="s">
        <v>71</v>
      </c>
      <c r="F10" t="s">
        <v>75</v>
      </c>
      <c r="G10">
        <v>10</v>
      </c>
      <c r="H10">
        <v>18000</v>
      </c>
      <c r="I10">
        <f t="shared" si="0"/>
        <v>180000</v>
      </c>
    </row>
    <row r="11" spans="1:11" x14ac:dyDescent="0.3">
      <c r="A11" t="s">
        <v>18</v>
      </c>
      <c r="B11" s="2">
        <v>45688</v>
      </c>
      <c r="C11" t="s">
        <v>64</v>
      </c>
      <c r="D11" t="s">
        <v>69</v>
      </c>
      <c r="E11" t="s">
        <v>73</v>
      </c>
      <c r="F11" t="s">
        <v>81</v>
      </c>
      <c r="G11">
        <v>2</v>
      </c>
      <c r="H11">
        <v>45000</v>
      </c>
      <c r="I11">
        <f t="shared" si="0"/>
        <v>90000</v>
      </c>
    </row>
    <row r="12" spans="1:11" x14ac:dyDescent="0.3">
      <c r="A12" t="s">
        <v>19</v>
      </c>
      <c r="B12" s="2">
        <v>45691</v>
      </c>
      <c r="C12" t="s">
        <v>59</v>
      </c>
      <c r="D12" t="s">
        <v>65</v>
      </c>
      <c r="E12" t="s">
        <v>71</v>
      </c>
      <c r="F12" t="s">
        <v>75</v>
      </c>
      <c r="G12">
        <v>8</v>
      </c>
      <c r="H12">
        <v>18000</v>
      </c>
      <c r="I12">
        <f t="shared" si="0"/>
        <v>144000</v>
      </c>
    </row>
    <row r="13" spans="1:11" x14ac:dyDescent="0.3">
      <c r="A13" t="s">
        <v>20</v>
      </c>
      <c r="B13" s="2">
        <v>45695</v>
      </c>
      <c r="C13" t="s">
        <v>60</v>
      </c>
      <c r="D13" t="s">
        <v>66</v>
      </c>
      <c r="E13" t="s">
        <v>73</v>
      </c>
      <c r="F13" t="s">
        <v>76</v>
      </c>
      <c r="G13">
        <v>6</v>
      </c>
      <c r="H13">
        <v>8500</v>
      </c>
      <c r="I13">
        <f t="shared" si="0"/>
        <v>51000</v>
      </c>
    </row>
    <row r="14" spans="1:11" x14ac:dyDescent="0.3">
      <c r="A14" t="s">
        <v>21</v>
      </c>
      <c r="B14" s="2">
        <v>45699</v>
      </c>
      <c r="C14" t="s">
        <v>63</v>
      </c>
      <c r="D14" t="s">
        <v>67</v>
      </c>
      <c r="E14" t="s">
        <v>72</v>
      </c>
      <c r="F14" t="s">
        <v>79</v>
      </c>
      <c r="G14">
        <v>25</v>
      </c>
      <c r="H14">
        <v>2500</v>
      </c>
      <c r="I14">
        <f t="shared" si="0"/>
        <v>62500</v>
      </c>
    </row>
    <row r="15" spans="1:11" x14ac:dyDescent="0.3">
      <c r="A15" t="s">
        <v>22</v>
      </c>
      <c r="B15" s="2">
        <v>45702</v>
      </c>
      <c r="C15" t="s">
        <v>62</v>
      </c>
      <c r="D15" t="s">
        <v>68</v>
      </c>
      <c r="E15" t="s">
        <v>71</v>
      </c>
      <c r="F15" t="s">
        <v>74</v>
      </c>
      <c r="G15">
        <v>4</v>
      </c>
      <c r="H15">
        <v>55000</v>
      </c>
      <c r="I15">
        <f t="shared" si="0"/>
        <v>220000</v>
      </c>
    </row>
    <row r="16" spans="1:11" x14ac:dyDescent="0.3">
      <c r="A16" t="s">
        <v>23</v>
      </c>
      <c r="B16" s="2">
        <v>45706</v>
      </c>
      <c r="C16" t="s">
        <v>64</v>
      </c>
      <c r="D16" t="s">
        <v>65</v>
      </c>
      <c r="E16" t="s">
        <v>71</v>
      </c>
      <c r="F16" t="s">
        <v>77</v>
      </c>
      <c r="G16">
        <v>7</v>
      </c>
      <c r="H16">
        <v>25000</v>
      </c>
      <c r="I16">
        <f t="shared" si="0"/>
        <v>175000</v>
      </c>
    </row>
    <row r="17" spans="1:9" x14ac:dyDescent="0.3">
      <c r="A17" t="s">
        <v>24</v>
      </c>
      <c r="B17" s="2">
        <v>45709</v>
      </c>
      <c r="C17" t="s">
        <v>61</v>
      </c>
      <c r="D17" t="s">
        <v>67</v>
      </c>
      <c r="E17" t="s">
        <v>73</v>
      </c>
      <c r="F17" t="s">
        <v>81</v>
      </c>
      <c r="G17">
        <v>3</v>
      </c>
      <c r="H17">
        <v>45000</v>
      </c>
      <c r="I17">
        <f t="shared" si="0"/>
        <v>135000</v>
      </c>
    </row>
    <row r="18" spans="1:9" x14ac:dyDescent="0.3">
      <c r="A18" t="s">
        <v>25</v>
      </c>
      <c r="B18" s="2">
        <v>45713</v>
      </c>
      <c r="C18" t="s">
        <v>59</v>
      </c>
      <c r="D18" t="s">
        <v>65</v>
      </c>
      <c r="E18" t="s">
        <v>72</v>
      </c>
      <c r="F18" t="s">
        <v>80</v>
      </c>
      <c r="G18">
        <v>30</v>
      </c>
      <c r="H18">
        <v>1800</v>
      </c>
      <c r="I18">
        <f t="shared" si="0"/>
        <v>54000</v>
      </c>
    </row>
    <row r="19" spans="1:9" x14ac:dyDescent="0.3">
      <c r="A19" t="s">
        <v>26</v>
      </c>
      <c r="B19" s="2">
        <v>45716</v>
      </c>
      <c r="C19" t="s">
        <v>60</v>
      </c>
      <c r="D19" t="s">
        <v>66</v>
      </c>
      <c r="E19" t="s">
        <v>71</v>
      </c>
      <c r="F19" t="s">
        <v>75</v>
      </c>
      <c r="G19">
        <v>15</v>
      </c>
      <c r="H19">
        <v>18000</v>
      </c>
      <c r="I19">
        <f t="shared" si="0"/>
        <v>270000</v>
      </c>
    </row>
    <row r="20" spans="1:9" x14ac:dyDescent="0.3">
      <c r="A20" t="s">
        <v>27</v>
      </c>
      <c r="B20" s="2">
        <v>45720</v>
      </c>
      <c r="C20" t="s">
        <v>63</v>
      </c>
      <c r="D20" t="s">
        <v>67</v>
      </c>
      <c r="E20" t="s">
        <v>71</v>
      </c>
      <c r="F20" t="s">
        <v>74</v>
      </c>
      <c r="G20">
        <v>6</v>
      </c>
      <c r="H20">
        <v>55000</v>
      </c>
      <c r="I20">
        <f t="shared" si="0"/>
        <v>330000</v>
      </c>
    </row>
    <row r="21" spans="1:9" x14ac:dyDescent="0.3">
      <c r="A21" t="s">
        <v>28</v>
      </c>
      <c r="B21" s="2">
        <v>45724</v>
      </c>
      <c r="C21" t="s">
        <v>62</v>
      </c>
      <c r="D21" t="s">
        <v>68</v>
      </c>
      <c r="E21" t="s">
        <v>73</v>
      </c>
      <c r="F21" t="s">
        <v>78</v>
      </c>
      <c r="G21">
        <v>5</v>
      </c>
      <c r="H21">
        <v>12000</v>
      </c>
      <c r="I21">
        <f t="shared" si="0"/>
        <v>60000</v>
      </c>
    </row>
    <row r="22" spans="1:9" x14ac:dyDescent="0.3">
      <c r="A22" t="s">
        <v>29</v>
      </c>
      <c r="B22" s="2">
        <v>45728</v>
      </c>
      <c r="C22" t="s">
        <v>64</v>
      </c>
      <c r="D22" t="s">
        <v>65</v>
      </c>
      <c r="E22" t="s">
        <v>71</v>
      </c>
      <c r="F22" t="s">
        <v>75</v>
      </c>
      <c r="G22">
        <v>10</v>
      </c>
      <c r="H22">
        <v>18000</v>
      </c>
      <c r="I22">
        <f t="shared" si="0"/>
        <v>180000</v>
      </c>
    </row>
    <row r="23" spans="1:9" x14ac:dyDescent="0.3">
      <c r="A23" t="s">
        <v>30</v>
      </c>
      <c r="B23" s="2">
        <v>45731</v>
      </c>
      <c r="C23" t="s">
        <v>61</v>
      </c>
      <c r="D23" t="s">
        <v>67</v>
      </c>
      <c r="E23" t="s">
        <v>72</v>
      </c>
      <c r="F23" t="s">
        <v>79</v>
      </c>
      <c r="G23">
        <v>18</v>
      </c>
      <c r="H23">
        <v>2500</v>
      </c>
      <c r="I23">
        <f t="shared" si="0"/>
        <v>45000</v>
      </c>
    </row>
    <row r="24" spans="1:9" x14ac:dyDescent="0.3">
      <c r="A24" t="s">
        <v>31</v>
      </c>
      <c r="B24" s="2">
        <v>45735</v>
      </c>
      <c r="C24" t="s">
        <v>59</v>
      </c>
      <c r="D24" t="s">
        <v>65</v>
      </c>
      <c r="E24" t="s">
        <v>73</v>
      </c>
      <c r="F24" t="s">
        <v>81</v>
      </c>
      <c r="G24">
        <v>2</v>
      </c>
      <c r="H24">
        <v>45000</v>
      </c>
      <c r="I24">
        <f t="shared" si="0"/>
        <v>90000</v>
      </c>
    </row>
    <row r="25" spans="1:9" x14ac:dyDescent="0.3">
      <c r="A25" t="s">
        <v>32</v>
      </c>
      <c r="B25" s="2">
        <v>45738</v>
      </c>
      <c r="C25" t="s">
        <v>60</v>
      </c>
      <c r="D25" t="s">
        <v>66</v>
      </c>
      <c r="E25" t="s">
        <v>71</v>
      </c>
      <c r="F25" t="s">
        <v>77</v>
      </c>
      <c r="G25">
        <v>9</v>
      </c>
      <c r="H25">
        <v>25000</v>
      </c>
      <c r="I25">
        <f t="shared" si="0"/>
        <v>225000</v>
      </c>
    </row>
    <row r="26" spans="1:9" x14ac:dyDescent="0.3">
      <c r="A26" t="s">
        <v>33</v>
      </c>
      <c r="B26" s="2">
        <v>45744</v>
      </c>
      <c r="C26" t="s">
        <v>63</v>
      </c>
      <c r="D26" t="s">
        <v>67</v>
      </c>
      <c r="E26" t="s">
        <v>71</v>
      </c>
      <c r="F26" t="s">
        <v>75</v>
      </c>
      <c r="G26">
        <v>14</v>
      </c>
      <c r="H26">
        <v>18000</v>
      </c>
      <c r="I26">
        <f t="shared" si="0"/>
        <v>252000</v>
      </c>
    </row>
    <row r="27" spans="1:9" x14ac:dyDescent="0.3">
      <c r="A27" t="s">
        <v>34</v>
      </c>
      <c r="B27" s="2">
        <v>45749</v>
      </c>
      <c r="C27" t="s">
        <v>62</v>
      </c>
      <c r="D27" t="s">
        <v>68</v>
      </c>
      <c r="E27" t="s">
        <v>71</v>
      </c>
      <c r="F27" t="s">
        <v>74</v>
      </c>
      <c r="G27">
        <v>5</v>
      </c>
      <c r="H27">
        <v>55000</v>
      </c>
      <c r="I27">
        <f t="shared" si="0"/>
        <v>275000</v>
      </c>
    </row>
    <row r="28" spans="1:9" x14ac:dyDescent="0.3">
      <c r="A28" t="s">
        <v>35</v>
      </c>
      <c r="B28" s="2">
        <v>45754</v>
      </c>
      <c r="C28" t="s">
        <v>64</v>
      </c>
      <c r="D28" t="s">
        <v>65</v>
      </c>
      <c r="E28" t="s">
        <v>73</v>
      </c>
      <c r="F28" t="s">
        <v>76</v>
      </c>
      <c r="G28">
        <v>10</v>
      </c>
      <c r="H28">
        <v>8500</v>
      </c>
      <c r="I28">
        <f t="shared" si="0"/>
        <v>85000</v>
      </c>
    </row>
    <row r="29" spans="1:9" x14ac:dyDescent="0.3">
      <c r="A29" t="s">
        <v>36</v>
      </c>
      <c r="B29" s="2">
        <v>45758</v>
      </c>
      <c r="C29" t="s">
        <v>61</v>
      </c>
      <c r="D29" t="s">
        <v>67</v>
      </c>
      <c r="E29" t="s">
        <v>71</v>
      </c>
      <c r="F29" t="s">
        <v>77</v>
      </c>
      <c r="G29">
        <v>8</v>
      </c>
      <c r="H29">
        <v>25000</v>
      </c>
      <c r="I29">
        <f t="shared" si="0"/>
        <v>200000</v>
      </c>
    </row>
    <row r="30" spans="1:9" x14ac:dyDescent="0.3">
      <c r="A30" t="s">
        <v>37</v>
      </c>
      <c r="B30" s="2">
        <v>45762</v>
      </c>
      <c r="C30" t="s">
        <v>59</v>
      </c>
      <c r="D30" t="s">
        <v>65</v>
      </c>
      <c r="E30" t="s">
        <v>72</v>
      </c>
      <c r="F30" t="s">
        <v>79</v>
      </c>
      <c r="G30">
        <v>22</v>
      </c>
      <c r="H30">
        <v>2500</v>
      </c>
      <c r="I30">
        <f t="shared" si="0"/>
        <v>55000</v>
      </c>
    </row>
    <row r="31" spans="1:9" x14ac:dyDescent="0.3">
      <c r="A31" t="s">
        <v>38</v>
      </c>
      <c r="B31" s="2">
        <v>45766</v>
      </c>
      <c r="C31" t="s">
        <v>60</v>
      </c>
      <c r="D31" t="s">
        <v>66</v>
      </c>
      <c r="E31" t="s">
        <v>73</v>
      </c>
      <c r="F31" t="s">
        <v>81</v>
      </c>
      <c r="G31">
        <v>3</v>
      </c>
      <c r="H31">
        <v>45000</v>
      </c>
      <c r="I31">
        <f t="shared" si="0"/>
        <v>135000</v>
      </c>
    </row>
    <row r="32" spans="1:9" x14ac:dyDescent="0.3">
      <c r="A32" t="s">
        <v>39</v>
      </c>
      <c r="B32" s="2">
        <v>45770</v>
      </c>
      <c r="C32" t="s">
        <v>63</v>
      </c>
      <c r="D32" t="s">
        <v>67</v>
      </c>
      <c r="E32" t="s">
        <v>72</v>
      </c>
      <c r="F32" t="s">
        <v>80</v>
      </c>
      <c r="G32">
        <v>35</v>
      </c>
      <c r="H32">
        <v>1800</v>
      </c>
      <c r="I32">
        <f t="shared" si="0"/>
        <v>63000</v>
      </c>
    </row>
    <row r="33" spans="1:9" x14ac:dyDescent="0.3">
      <c r="A33" t="s">
        <v>40</v>
      </c>
      <c r="B33" s="2">
        <v>45775</v>
      </c>
      <c r="C33" t="s">
        <v>62</v>
      </c>
      <c r="D33" t="s">
        <v>68</v>
      </c>
      <c r="E33" t="s">
        <v>71</v>
      </c>
      <c r="F33" t="s">
        <v>75</v>
      </c>
      <c r="G33">
        <v>11</v>
      </c>
      <c r="H33">
        <v>18000</v>
      </c>
      <c r="I33">
        <f t="shared" si="0"/>
        <v>198000</v>
      </c>
    </row>
    <row r="34" spans="1:9" x14ac:dyDescent="0.3">
      <c r="A34" t="s">
        <v>41</v>
      </c>
      <c r="B34" s="2">
        <v>45779</v>
      </c>
      <c r="C34" t="s">
        <v>64</v>
      </c>
      <c r="D34" t="s">
        <v>65</v>
      </c>
      <c r="E34" t="s">
        <v>71</v>
      </c>
      <c r="F34" t="s">
        <v>74</v>
      </c>
      <c r="G34">
        <v>7</v>
      </c>
      <c r="H34">
        <v>55000</v>
      </c>
      <c r="I34">
        <f t="shared" ref="I34:I51" si="1">G34*H34</f>
        <v>385000</v>
      </c>
    </row>
    <row r="35" spans="1:9" x14ac:dyDescent="0.3">
      <c r="A35" t="s">
        <v>42</v>
      </c>
      <c r="B35" s="2">
        <v>45783</v>
      </c>
      <c r="C35" t="s">
        <v>59</v>
      </c>
      <c r="D35" t="s">
        <v>70</v>
      </c>
      <c r="E35" t="s">
        <v>71</v>
      </c>
      <c r="F35" t="s">
        <v>77</v>
      </c>
      <c r="G35">
        <v>6</v>
      </c>
      <c r="H35">
        <v>25000</v>
      </c>
      <c r="I35">
        <f t="shared" si="1"/>
        <v>150000</v>
      </c>
    </row>
    <row r="36" spans="1:9" x14ac:dyDescent="0.3">
      <c r="A36" t="s">
        <v>43</v>
      </c>
      <c r="B36" s="2">
        <v>45787</v>
      </c>
      <c r="C36" t="s">
        <v>60</v>
      </c>
      <c r="D36" t="s">
        <v>66</v>
      </c>
      <c r="E36" t="s">
        <v>72</v>
      </c>
      <c r="F36" t="s">
        <v>80</v>
      </c>
      <c r="G36">
        <v>28</v>
      </c>
      <c r="H36">
        <v>1800</v>
      </c>
      <c r="I36">
        <f t="shared" si="1"/>
        <v>50400</v>
      </c>
    </row>
    <row r="37" spans="1:9" x14ac:dyDescent="0.3">
      <c r="A37" t="s">
        <v>44</v>
      </c>
      <c r="B37" s="2">
        <v>45791</v>
      </c>
      <c r="C37" t="s">
        <v>61</v>
      </c>
      <c r="D37" t="s">
        <v>67</v>
      </c>
      <c r="E37" t="s">
        <v>73</v>
      </c>
      <c r="F37" t="s">
        <v>78</v>
      </c>
      <c r="G37">
        <v>7</v>
      </c>
      <c r="H37">
        <v>12000</v>
      </c>
      <c r="I37">
        <f t="shared" si="1"/>
        <v>84000</v>
      </c>
    </row>
    <row r="38" spans="1:9" x14ac:dyDescent="0.3">
      <c r="A38" t="s">
        <v>45</v>
      </c>
      <c r="B38" s="2">
        <v>45795</v>
      </c>
      <c r="C38" t="s">
        <v>63</v>
      </c>
      <c r="D38" t="s">
        <v>67</v>
      </c>
      <c r="E38" t="s">
        <v>71</v>
      </c>
      <c r="F38" t="s">
        <v>74</v>
      </c>
      <c r="G38">
        <v>4</v>
      </c>
      <c r="H38">
        <v>55000</v>
      </c>
      <c r="I38">
        <f t="shared" si="1"/>
        <v>220000</v>
      </c>
    </row>
    <row r="39" spans="1:9" x14ac:dyDescent="0.3">
      <c r="A39" t="s">
        <v>46</v>
      </c>
      <c r="B39" s="2">
        <v>45799</v>
      </c>
      <c r="C39" t="s">
        <v>62</v>
      </c>
      <c r="D39" t="s">
        <v>68</v>
      </c>
      <c r="E39" t="s">
        <v>73</v>
      </c>
      <c r="F39" t="s">
        <v>81</v>
      </c>
      <c r="G39">
        <v>2</v>
      </c>
      <c r="H39">
        <v>45000</v>
      </c>
      <c r="I39">
        <f t="shared" si="1"/>
        <v>90000</v>
      </c>
    </row>
    <row r="40" spans="1:9" x14ac:dyDescent="0.3">
      <c r="A40" t="s">
        <v>47</v>
      </c>
      <c r="B40" s="2">
        <v>45803</v>
      </c>
      <c r="C40" t="s">
        <v>64</v>
      </c>
      <c r="D40" t="s">
        <v>65</v>
      </c>
      <c r="E40" t="s">
        <v>71</v>
      </c>
      <c r="F40" t="s">
        <v>75</v>
      </c>
      <c r="G40">
        <v>13</v>
      </c>
      <c r="H40">
        <v>18000</v>
      </c>
      <c r="I40">
        <f t="shared" si="1"/>
        <v>234000</v>
      </c>
    </row>
    <row r="41" spans="1:9" x14ac:dyDescent="0.3">
      <c r="A41" t="s">
        <v>48</v>
      </c>
      <c r="B41" s="2">
        <v>45807</v>
      </c>
      <c r="C41" t="s">
        <v>59</v>
      </c>
      <c r="D41" t="s">
        <v>65</v>
      </c>
      <c r="E41" t="s">
        <v>72</v>
      </c>
      <c r="F41" t="s">
        <v>79</v>
      </c>
      <c r="G41">
        <v>20</v>
      </c>
      <c r="H41">
        <v>2500</v>
      </c>
      <c r="I41">
        <f t="shared" si="1"/>
        <v>50000</v>
      </c>
    </row>
    <row r="42" spans="1:9" x14ac:dyDescent="0.3">
      <c r="A42" t="s">
        <v>49</v>
      </c>
      <c r="B42" s="2">
        <v>45812</v>
      </c>
      <c r="C42" t="s">
        <v>60</v>
      </c>
      <c r="D42" t="s">
        <v>66</v>
      </c>
      <c r="E42" t="s">
        <v>71</v>
      </c>
      <c r="F42" t="s">
        <v>74</v>
      </c>
      <c r="G42">
        <v>5</v>
      </c>
      <c r="H42">
        <v>55000</v>
      </c>
      <c r="I42">
        <f t="shared" si="1"/>
        <v>275000</v>
      </c>
    </row>
    <row r="43" spans="1:9" x14ac:dyDescent="0.3">
      <c r="A43" t="s">
        <v>50</v>
      </c>
      <c r="B43" s="2">
        <v>45817</v>
      </c>
      <c r="C43" t="s">
        <v>61</v>
      </c>
      <c r="D43" t="s">
        <v>67</v>
      </c>
      <c r="E43" t="s">
        <v>71</v>
      </c>
      <c r="F43" t="s">
        <v>75</v>
      </c>
      <c r="G43">
        <v>16</v>
      </c>
      <c r="H43">
        <v>18000</v>
      </c>
      <c r="I43">
        <f t="shared" si="1"/>
        <v>288000</v>
      </c>
    </row>
    <row r="44" spans="1:9" x14ac:dyDescent="0.3">
      <c r="A44" t="s">
        <v>51</v>
      </c>
      <c r="B44" s="2">
        <v>45821</v>
      </c>
      <c r="C44" t="s">
        <v>63</v>
      </c>
      <c r="D44" t="s">
        <v>67</v>
      </c>
      <c r="E44" t="s">
        <v>73</v>
      </c>
      <c r="F44" t="s">
        <v>76</v>
      </c>
      <c r="G44">
        <v>9</v>
      </c>
      <c r="H44">
        <v>8500</v>
      </c>
      <c r="I44">
        <f t="shared" si="1"/>
        <v>76500</v>
      </c>
    </row>
    <row r="45" spans="1:9" x14ac:dyDescent="0.3">
      <c r="A45" t="s">
        <v>52</v>
      </c>
      <c r="B45" s="2">
        <v>45825</v>
      </c>
      <c r="C45" t="s">
        <v>62</v>
      </c>
      <c r="D45" t="s">
        <v>68</v>
      </c>
      <c r="E45" t="s">
        <v>71</v>
      </c>
      <c r="F45" t="s">
        <v>77</v>
      </c>
      <c r="G45">
        <v>8</v>
      </c>
      <c r="H45">
        <v>25000</v>
      </c>
      <c r="I45">
        <f t="shared" si="1"/>
        <v>200000</v>
      </c>
    </row>
    <row r="46" spans="1:9" x14ac:dyDescent="0.3">
      <c r="A46" t="s">
        <v>53</v>
      </c>
      <c r="B46" s="2">
        <v>45829</v>
      </c>
      <c r="C46" t="s">
        <v>64</v>
      </c>
      <c r="D46" t="s">
        <v>65</v>
      </c>
      <c r="E46" t="s">
        <v>73</v>
      </c>
      <c r="F46" t="s">
        <v>78</v>
      </c>
      <c r="G46">
        <v>6</v>
      </c>
      <c r="H46">
        <v>12000</v>
      </c>
      <c r="I46">
        <f t="shared" si="1"/>
        <v>72000</v>
      </c>
    </row>
    <row r="47" spans="1:9" x14ac:dyDescent="0.3">
      <c r="A47" t="s">
        <v>54</v>
      </c>
      <c r="B47" s="2">
        <v>45833</v>
      </c>
      <c r="C47" t="s">
        <v>59</v>
      </c>
      <c r="D47" t="s">
        <v>65</v>
      </c>
      <c r="E47" t="s">
        <v>71</v>
      </c>
      <c r="F47" t="s">
        <v>74</v>
      </c>
      <c r="G47">
        <v>4</v>
      </c>
      <c r="H47">
        <v>55000</v>
      </c>
      <c r="I47">
        <f t="shared" si="1"/>
        <v>220000</v>
      </c>
    </row>
    <row r="48" spans="1:9" x14ac:dyDescent="0.3">
      <c r="A48" t="s">
        <v>55</v>
      </c>
      <c r="B48" s="2">
        <v>45836</v>
      </c>
      <c r="C48" t="s">
        <v>60</v>
      </c>
      <c r="D48" t="s">
        <v>66</v>
      </c>
      <c r="E48" t="s">
        <v>73</v>
      </c>
      <c r="F48" t="s">
        <v>81</v>
      </c>
      <c r="G48">
        <v>3</v>
      </c>
      <c r="H48">
        <v>45000</v>
      </c>
      <c r="I48">
        <f t="shared" si="1"/>
        <v>135000</v>
      </c>
    </row>
    <row r="49" spans="1:9" x14ac:dyDescent="0.3">
      <c r="A49" t="s">
        <v>56</v>
      </c>
      <c r="B49" s="2">
        <v>45840</v>
      </c>
      <c r="C49" t="s">
        <v>61</v>
      </c>
      <c r="D49" t="s">
        <v>67</v>
      </c>
      <c r="E49" t="s">
        <v>72</v>
      </c>
      <c r="F49" t="s">
        <v>80</v>
      </c>
      <c r="G49">
        <v>40</v>
      </c>
      <c r="H49">
        <v>1800</v>
      </c>
      <c r="I49">
        <f t="shared" si="1"/>
        <v>72000</v>
      </c>
    </row>
    <row r="50" spans="1:9" x14ac:dyDescent="0.3">
      <c r="A50" t="s">
        <v>57</v>
      </c>
      <c r="B50" s="2">
        <v>45844</v>
      </c>
      <c r="C50" t="s">
        <v>63</v>
      </c>
      <c r="D50" t="s">
        <v>67</v>
      </c>
      <c r="E50" t="s">
        <v>71</v>
      </c>
      <c r="F50" t="s">
        <v>75</v>
      </c>
      <c r="G50">
        <v>12</v>
      </c>
      <c r="H50">
        <v>18000</v>
      </c>
      <c r="I50">
        <f t="shared" si="1"/>
        <v>216000</v>
      </c>
    </row>
    <row r="51" spans="1:9" x14ac:dyDescent="0.3">
      <c r="A51" t="s">
        <v>58</v>
      </c>
      <c r="B51" s="2">
        <v>45848</v>
      </c>
      <c r="C51" t="s">
        <v>62</v>
      </c>
      <c r="D51" t="s">
        <v>68</v>
      </c>
      <c r="E51" t="s">
        <v>71</v>
      </c>
      <c r="F51" t="s">
        <v>74</v>
      </c>
      <c r="G51">
        <v>6</v>
      </c>
      <c r="H51">
        <v>55000</v>
      </c>
      <c r="I51">
        <f t="shared" si="1"/>
        <v>330000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1B36-D36A-48F2-BA82-F4020786055C}">
  <sheetPr>
    <tabColor rgb="FF7030A0"/>
  </sheetPr>
  <dimension ref="A1:B8"/>
  <sheetViews>
    <sheetView workbookViewId="0">
      <selection activeCell="B4" sqref="B4"/>
    </sheetView>
  </sheetViews>
  <sheetFormatPr defaultRowHeight="14.4" x14ac:dyDescent="0.3"/>
  <cols>
    <col min="2" max="2" width="16" customWidth="1"/>
  </cols>
  <sheetData>
    <row r="1" spans="1:2" x14ac:dyDescent="0.3">
      <c r="A1" t="s">
        <v>82</v>
      </c>
      <c r="B1" t="s">
        <v>83</v>
      </c>
    </row>
    <row r="2" spans="1:2" x14ac:dyDescent="0.3">
      <c r="A2" t="s">
        <v>84</v>
      </c>
      <c r="B2">
        <v>1200000</v>
      </c>
    </row>
    <row r="3" spans="1:2" x14ac:dyDescent="0.3">
      <c r="A3" t="s">
        <v>85</v>
      </c>
      <c r="B3">
        <v>1150000</v>
      </c>
    </row>
    <row r="4" spans="1:2" x14ac:dyDescent="0.3">
      <c r="A4" t="s">
        <v>86</v>
      </c>
      <c r="B4">
        <v>1100000</v>
      </c>
    </row>
    <row r="5" spans="1:2" x14ac:dyDescent="0.3">
      <c r="A5" t="s">
        <v>87</v>
      </c>
      <c r="B5">
        <v>1050000</v>
      </c>
    </row>
    <row r="6" spans="1:2" x14ac:dyDescent="0.3">
      <c r="A6" t="s">
        <v>88</v>
      </c>
      <c r="B6">
        <v>1300000</v>
      </c>
    </row>
    <row r="7" spans="1:2" x14ac:dyDescent="0.3">
      <c r="A7" t="s">
        <v>89</v>
      </c>
      <c r="B7">
        <v>1200000</v>
      </c>
    </row>
    <row r="8" spans="1:2" x14ac:dyDescent="0.3">
      <c r="A8" t="s">
        <v>90</v>
      </c>
      <c r="B8">
        <v>700000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A51C-159C-4F35-AA70-1F3DE9158373}">
  <sheetPr>
    <tabColor theme="4" tint="-0.499984740745262"/>
  </sheetPr>
  <dimension ref="A1:L46"/>
  <sheetViews>
    <sheetView showGridLines="0" showRowColHeaders="0" tabSelected="1" zoomScale="128" zoomScaleNormal="78" workbookViewId="0">
      <selection activeCell="S43" sqref="S43"/>
    </sheetView>
  </sheetViews>
  <sheetFormatPr defaultRowHeight="14.4" x14ac:dyDescent="0.3"/>
  <cols>
    <col min="1" max="1" width="8.88671875" style="13"/>
    <col min="2" max="2" width="18.33203125" style="13" customWidth="1"/>
    <col min="3" max="3" width="9.6640625" style="13" customWidth="1"/>
    <col min="4" max="4" width="20.6640625" style="13" bestFit="1" customWidth="1"/>
    <col min="5" max="5" width="12.77734375" style="13" bestFit="1" customWidth="1"/>
    <col min="6" max="6" width="21.77734375" style="13" bestFit="1" customWidth="1"/>
    <col min="7" max="7" width="8.88671875" style="13"/>
    <col min="8" max="8" width="23.77734375" style="13" bestFit="1" customWidth="1"/>
    <col min="9" max="16384" width="8.88671875" style="13"/>
  </cols>
  <sheetData>
    <row r="1" spans="1:8" ht="23.4" x14ac:dyDescent="0.45">
      <c r="A1" s="28" t="s">
        <v>96</v>
      </c>
      <c r="B1" s="28"/>
      <c r="C1" s="28"/>
      <c r="D1" s="28"/>
      <c r="E1" s="28"/>
      <c r="F1" s="28"/>
      <c r="G1" s="28"/>
      <c r="H1" s="28"/>
    </row>
    <row r="2" spans="1:8" ht="21" x14ac:dyDescent="0.4">
      <c r="A2" s="19" t="s">
        <v>82</v>
      </c>
      <c r="B2" s="20" t="s">
        <v>104</v>
      </c>
      <c r="C2" s="19" t="s">
        <v>3</v>
      </c>
      <c r="D2" s="20" t="s">
        <v>104</v>
      </c>
      <c r="E2" s="19" t="s">
        <v>4</v>
      </c>
      <c r="F2" s="20" t="s">
        <v>104</v>
      </c>
      <c r="G2" s="21"/>
      <c r="H2" s="22"/>
    </row>
    <row r="3" spans="1:8" x14ac:dyDescent="0.3">
      <c r="B3" s="14" t="s">
        <v>91</v>
      </c>
      <c r="D3" s="15" t="s">
        <v>97</v>
      </c>
      <c r="F3" s="16" t="s">
        <v>98</v>
      </c>
      <c r="H3" s="17" t="s">
        <v>99</v>
      </c>
    </row>
    <row r="4" spans="1:8" ht="24" x14ac:dyDescent="0.5">
      <c r="B4" s="23">
        <f>SUMIFS(SalesData!I2:I51,SalesData!D2:D51,IF(D2="All","*",D2),SalesData!E2:E51,IF(F2="All","*",F2))</f>
        <v>7721400</v>
      </c>
      <c r="D4" s="26">
        <f>SUMIFS(SalesData!G2:G51,SalesData!D2:D51,IF(D2="All","*",D2),SalesData!E2:E51,IF(F2="All","*",F2))</f>
        <v>537</v>
      </c>
      <c r="F4" s="24">
        <f>IFERROR(B4/COUNTIFS(SalesData!D2:D51,IF(D2="All","*",D2),SalesData!E2:E51,IF(F2="All","*",F2)),0)</f>
        <v>154428</v>
      </c>
      <c r="H4" s="18" t="str">
        <f>INDEX(Analysis!D2:D6,MATCH(MAX(Analysis!E2:E6),Analysis!E2:E6,0))</f>
        <v>Priya Singh</v>
      </c>
    </row>
    <row r="41" spans="4:12" ht="14.4" customHeight="1" x14ac:dyDescent="0.85">
      <c r="D41" s="25"/>
      <c r="E41" s="25"/>
      <c r="F41" s="25"/>
      <c r="G41" s="25"/>
      <c r="H41" s="25"/>
      <c r="I41" s="25"/>
      <c r="J41" s="25"/>
      <c r="K41" s="25"/>
      <c r="L41" s="25"/>
    </row>
    <row r="42" spans="4:12" ht="14.4" customHeight="1" x14ac:dyDescent="0.85">
      <c r="D42" s="29" t="s">
        <v>103</v>
      </c>
      <c r="E42" s="29"/>
      <c r="F42" s="29"/>
      <c r="G42" s="29"/>
      <c r="H42" s="29"/>
      <c r="I42" s="29"/>
      <c r="J42" s="29"/>
      <c r="K42" s="29"/>
      <c r="L42" s="25"/>
    </row>
    <row r="43" spans="4:12" ht="14.4" customHeight="1" x14ac:dyDescent="0.85">
      <c r="D43" s="29"/>
      <c r="E43" s="29"/>
      <c r="F43" s="29"/>
      <c r="G43" s="29"/>
      <c r="H43" s="29"/>
      <c r="I43" s="29"/>
      <c r="J43" s="29"/>
      <c r="K43" s="29"/>
      <c r="L43" s="25"/>
    </row>
    <row r="44" spans="4:12" ht="14.4" customHeight="1" x14ac:dyDescent="0.85">
      <c r="D44" s="29"/>
      <c r="E44" s="29"/>
      <c r="F44" s="29"/>
      <c r="G44" s="29"/>
      <c r="H44" s="29"/>
      <c r="I44" s="29"/>
      <c r="J44" s="29"/>
      <c r="K44" s="29"/>
      <c r="L44" s="25"/>
    </row>
    <row r="45" spans="4:12" ht="14.4" customHeight="1" x14ac:dyDescent="0.85">
      <c r="D45" s="25"/>
      <c r="E45" s="25"/>
      <c r="F45" s="25"/>
      <c r="G45" s="25"/>
      <c r="H45" s="25"/>
      <c r="I45" s="25"/>
      <c r="J45" s="25"/>
      <c r="K45" s="25"/>
      <c r="L45" s="25"/>
    </row>
    <row r="46" spans="4:12" ht="14.4" customHeight="1" x14ac:dyDescent="0.85">
      <c r="D46" s="25"/>
      <c r="E46" s="25"/>
      <c r="F46" s="25"/>
      <c r="G46" s="25"/>
      <c r="H46" s="25"/>
      <c r="I46" s="25"/>
      <c r="J46" s="25"/>
      <c r="K46" s="25"/>
      <c r="L46" s="25"/>
    </row>
  </sheetData>
  <mergeCells count="2">
    <mergeCell ref="A1:H1"/>
    <mergeCell ref="D42:K44"/>
  </mergeCells>
  <dataValidations count="3">
    <dataValidation type="list" allowBlank="1" showInputMessage="1" showErrorMessage="1" sqref="B2" xr:uid="{719FE1A0-DD2A-46E3-81EC-2718D4357FD8}">
      <formula1>"All, Jan, Feb, Mar, Apr, May, Jun, Jul"</formula1>
    </dataValidation>
    <dataValidation type="list" allowBlank="1" showInputMessage="1" showErrorMessage="1" sqref="D2" xr:uid="{E10D1E0C-F4E9-447D-B276-C6CDD088AE77}">
      <formula1>"All,North,South,East,West"</formula1>
    </dataValidation>
    <dataValidation type="list" allowBlank="1" showInputMessage="1" showErrorMessage="1" sqref="F2" xr:uid="{2C950429-CE2E-449B-A4AE-F6AF3FEBB316}">
      <formula1>"All,Electronics,Furniture,Clothing"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A0CC4-4E5D-478C-A94F-FA306EEF5944}">
  <sheetPr>
    <tabColor theme="5"/>
  </sheetPr>
  <dimension ref="A1:K11"/>
  <sheetViews>
    <sheetView workbookViewId="0">
      <selection activeCell="F14" sqref="F14"/>
    </sheetView>
  </sheetViews>
  <sheetFormatPr defaultRowHeight="14.4" x14ac:dyDescent="0.3"/>
  <cols>
    <col min="1" max="1" width="9.88671875" bestFit="1" customWidth="1"/>
    <col min="2" max="2" width="12.6640625" bestFit="1" customWidth="1"/>
    <col min="4" max="4" width="12.109375" bestFit="1" customWidth="1"/>
    <col min="5" max="5" width="12.6640625" bestFit="1" customWidth="1"/>
    <col min="9" max="9" width="13.6640625" bestFit="1" customWidth="1"/>
    <col min="11" max="11" width="13.5546875" bestFit="1" customWidth="1"/>
  </cols>
  <sheetData>
    <row r="1" spans="1:11" x14ac:dyDescent="0.3">
      <c r="A1" t="s">
        <v>3</v>
      </c>
      <c r="B1" t="s">
        <v>91</v>
      </c>
      <c r="D1" s="5" t="s">
        <v>2</v>
      </c>
      <c r="E1" s="6" t="s">
        <v>91</v>
      </c>
      <c r="F1" s="7" t="s">
        <v>92</v>
      </c>
      <c r="H1" t="s">
        <v>82</v>
      </c>
      <c r="I1" t="s">
        <v>93</v>
      </c>
      <c r="J1" t="s">
        <v>94</v>
      </c>
      <c r="K1" t="s">
        <v>95</v>
      </c>
    </row>
    <row r="2" spans="1:11" x14ac:dyDescent="0.3">
      <c r="A2" t="s">
        <v>65</v>
      </c>
      <c r="B2" cm="1">
        <f t="array" ref="B2">SUMPRODUCT((tblSales[Region]="North")*IF(Dashboard!D2="All",1,tblSales[Region]=Dashboard!D2)*IF(Dashboard!F2="All",1,tblSales[Category]=Dashboard!F2)*tblSales[Revenue])</f>
        <v>2067000</v>
      </c>
      <c r="D2" t="s">
        <v>60</v>
      </c>
      <c r="E2" s="4" cm="1">
        <f t="array" ref="E2">SUMPRODUCT((tblSales[Salesperson]="Priya Singh")*IF(Dashboard!D2="All",1,tblSales[Region]=Dashboard!D2)*IF(Dashboard!F2="All",1,tblSales[Category]=Dashboard!F2)*tblSales[Revenue])</f>
        <v>1407400</v>
      </c>
      <c r="F2" s="4">
        <f>RANK(E2,$E$2:$E$6,0)</f>
        <v>1</v>
      </c>
      <c r="H2" t="s">
        <v>84</v>
      </c>
      <c r="I2" s="3" cm="1">
        <f t="array" ref="I2">SUMPRODUCT((MONTH(tblSales[Date])=1)*IF(Dashboard!D2="All",1,tblSales[Region]=Dashboard!D2)*IF(Dashboard!F2="All",1,tblSales[Category]=Dashboard!F2)*tblSales[Revenue])</f>
        <v>1269000</v>
      </c>
      <c r="J2" s="8">
        <f>VLOOKUP(H2,tblTargets[],2,0)</f>
        <v>1200000</v>
      </c>
      <c r="K2" s="9">
        <f>IFERROR(I2/J2,"No Data")</f>
        <v>1.0575000000000001</v>
      </c>
    </row>
    <row r="3" spans="1:11" x14ac:dyDescent="0.3">
      <c r="A3" t="s">
        <v>66</v>
      </c>
      <c r="B3" s="3" cm="1">
        <f t="array" ref="B3">SUMPRODUCT((tblSales[Region]="South")*IF(Dashboard!D2="All",1,tblSales[Region]=Dashboard!D2)*IF(Dashboard!F2="All",1,tblSales[Category]=Dashboard!F2)*tblSales[Revenue])</f>
        <v>1407400</v>
      </c>
      <c r="D3" t="s">
        <v>63</v>
      </c>
      <c r="E3" s="4" cm="1">
        <f t="array" ref="E3">SUMPRODUCT((tblSales[Salesperson]="Vikram Joshi")*IF(Dashboard!D2="All",1,tblSales[Region]=Dashboard!D2)*IF(Dashboard!F2="All",1,tblSales[Category]=Dashboard!F2)*tblSales[Revenue])</f>
        <v>1385000</v>
      </c>
      <c r="F3" s="4">
        <f>RANK(E3,$E$2:$E$6,0)</f>
        <v>2</v>
      </c>
      <c r="H3" t="s">
        <v>85</v>
      </c>
      <c r="I3" s="3" cm="1">
        <f t="array" ref="I3">SUMPRODUCT((MONTH(tblSales[Date])=2)*IF(Dashboard!D2="All",1,tblSales[Region]=Dashboard!D2)*IF(Dashboard!F2="All",1,tblSales[Category]=Dashboard!F2)*tblSales[Revenue])</f>
        <v>1111500</v>
      </c>
      <c r="J3" s="8">
        <f>VLOOKUP(H3,tblTargets[],2,0)</f>
        <v>1150000</v>
      </c>
      <c r="K3" s="9">
        <f t="shared" ref="K3:K8" si="0">IFERROR(I3/J3,"No Data")</f>
        <v>0.96652173913043482</v>
      </c>
    </row>
    <row r="4" spans="1:11" x14ac:dyDescent="0.3">
      <c r="A4" t="s">
        <v>68</v>
      </c>
      <c r="B4" s="3" cm="1">
        <f t="array" ref="B4">SUMPRODUCT((tblSales[Region]="East")*IF(Dashboard!D2="All",1,tblSales[Region]=Dashboard!D2)*IF(Dashboard!F2="All",1,tblSales[Category]=Dashboard!F2)*tblSales[Revenue])</f>
        <v>1550000</v>
      </c>
      <c r="D4" t="s">
        <v>64</v>
      </c>
      <c r="E4" s="4" cm="1">
        <f t="array" ref="E4">SUMPRODUCT((tblSales[Salesperson]="Sonia Mehta")*IF(Dashboard!D2="All",1,tblSales[Region]=Dashboard!D2)*IF(Dashboard!F2="All",1,tblSales[Category]=Dashboard!F2)*tblSales[Revenue])</f>
        <v>1221000</v>
      </c>
      <c r="F4" s="4">
        <f>RANK(E4,$E$2:$E$6,0)</f>
        <v>3</v>
      </c>
      <c r="H4" t="s">
        <v>86</v>
      </c>
      <c r="I4" s="3" cm="1">
        <f t="array" ref="I4">SUMPRODUCT((MONTH(tblSales[Date])=3)*IF(Dashboard!D2="All",1,tblSales[Region]=Dashboard!D2)*IF(Dashboard!F2="All",1,tblSales[Category]=Dashboard!F2)*tblSales[Revenue])</f>
        <v>1182000</v>
      </c>
      <c r="J4" s="8">
        <f>VLOOKUP(H4,tblTargets[],2,0)</f>
        <v>1100000</v>
      </c>
      <c r="K4" s="9">
        <f t="shared" si="0"/>
        <v>1.0745454545454545</v>
      </c>
    </row>
    <row r="5" spans="1:11" x14ac:dyDescent="0.3">
      <c r="A5" t="s">
        <v>67</v>
      </c>
      <c r="B5" s="3" cm="1">
        <f t="array" ref="B5">SUMPRODUCT((tblSales[Region]="West")*IF(Dashboard!D2="All",1,tblSales[Region]=Dashboard!D2)*IF(Dashboard!F2="All",1,tblSales[Category]=Dashboard!F2)*tblSales[Revenue])</f>
        <v>2457000</v>
      </c>
      <c r="D5" t="s">
        <v>59</v>
      </c>
      <c r="E5" s="4" cm="1">
        <f t="array" ref="E5">SUMPRODUCT((tblSales[Salesperson]="Rahul Sharma")*IF(Dashboard!D2="All",1,tblSales[Region]=Dashboard!D2)*IF(Dashboard!F2="All",1,tblSales[Category]=Dashboard!F2)*tblSales[Revenue])</f>
        <v>1086000</v>
      </c>
      <c r="F5" s="4">
        <f>RANK(E5,$E$2:$E$6,0)</f>
        <v>4</v>
      </c>
      <c r="H5" t="s">
        <v>87</v>
      </c>
      <c r="I5" s="3" cm="1">
        <f t="array" ref="I5">SUMPRODUCT((MONTH(tblSales[Date])=4)*IF(Dashboard!D2="All",1,tblSales[Region]=Dashboard!D2)*IF(Dashboard!F2="All",1,tblSales[Category]=Dashboard!F2)*tblSales[Revenue])</f>
        <v>1011000</v>
      </c>
      <c r="J5" s="8">
        <f>VLOOKUP(H5,tblTargets[],2,0)</f>
        <v>1050000</v>
      </c>
      <c r="K5" s="9">
        <f t="shared" si="0"/>
        <v>0.96285714285714286</v>
      </c>
    </row>
    <row r="6" spans="1:11" x14ac:dyDescent="0.3">
      <c r="D6" t="s">
        <v>61</v>
      </c>
      <c r="E6" s="4" cm="1">
        <f t="array" ref="E6">SUMPRODUCT((tblSales[Salesperson]="Amit Patel")*IF(Dashboard!D2="All",1,tblSales[Region]=Dashboard!D2)*IF(Dashboard!F2="All",1,tblSales[Category]=Dashboard!F2)*tblSales[Revenue])</f>
        <v>1072000</v>
      </c>
      <c r="F6" s="4">
        <f>RANK(E6,$E$2:$E$6,0)</f>
        <v>5</v>
      </c>
      <c r="H6" t="s">
        <v>88</v>
      </c>
      <c r="I6" s="3" cm="1">
        <f t="array" ref="I6">SUMPRODUCT((MONTH(tblSales[Date])=5)*IF(Dashboard!D2="All",1,tblSales[Region]=Dashboard!D2)*IF(Dashboard!F2="All",1,tblSales[Category]=Dashboard!F2)*tblSales[Revenue])</f>
        <v>1263400</v>
      </c>
      <c r="J6" s="8">
        <f>VLOOKUP(H6,tblTargets[],2,0)</f>
        <v>1300000</v>
      </c>
      <c r="K6" s="9">
        <f t="shared" si="0"/>
        <v>0.9718461538461538</v>
      </c>
    </row>
    <row r="7" spans="1:11" x14ac:dyDescent="0.3">
      <c r="H7" t="s">
        <v>89</v>
      </c>
      <c r="I7" cm="1">
        <f t="array" ref="I7">SUMPRODUCT((MONTH(tblSales[Date])=6)*IF(Dashboard!D2="All",1,tblSales[Region]=Dashboard!D2)*IF(Dashboard!F2="All",1,tblSales[Category]=Dashboard!F2)*tblSales[Revenue])</f>
        <v>1266500</v>
      </c>
      <c r="J7" s="8">
        <f>VLOOKUP(H7,tblTargets[],2,0)</f>
        <v>1200000</v>
      </c>
      <c r="K7" s="9">
        <f t="shared" si="0"/>
        <v>1.0554166666666667</v>
      </c>
    </row>
    <row r="8" spans="1:11" x14ac:dyDescent="0.3">
      <c r="A8" t="s">
        <v>4</v>
      </c>
      <c r="B8" t="s">
        <v>8</v>
      </c>
      <c r="H8" t="s">
        <v>90</v>
      </c>
      <c r="I8" cm="1">
        <f t="array" ref="I8">SUMPRODUCT((MONTH(tblSales[Date])=7)*IF(Dashboard!D2="All",1,tblSales[Region]=Dashboard!D2)*IF(Dashboard!F2="All",1,tblSales[Category]=Dashboard!F2)*tblSales[Revenue])</f>
        <v>618000</v>
      </c>
      <c r="J8" s="8">
        <f>VLOOKUP(H8,tblTargets[],2,0)</f>
        <v>700000</v>
      </c>
      <c r="K8" s="9">
        <f t="shared" si="0"/>
        <v>0.8828571428571429</v>
      </c>
    </row>
    <row r="9" spans="1:11" x14ac:dyDescent="0.3">
      <c r="A9" t="s">
        <v>71</v>
      </c>
      <c r="B9" s="12" cm="1">
        <f t="array" ref="B9">SUMPRODUCT((tblSales[Category]="Electronics")*IF(Dashboard!D2="All",1,tblSales[Region]=Dashboard!D2)*tblSales[Revenue])</f>
        <v>5973000</v>
      </c>
    </row>
    <row r="10" spans="1:11" x14ac:dyDescent="0.3">
      <c r="A10" t="s">
        <v>73</v>
      </c>
      <c r="B10" s="12" cm="1">
        <f t="array" ref="B10">SUMPRODUCT((tblSales[Category]="Furniture")*IF(Dashboard!D2="All",1,tblSales[Region]=Dashboard!D2)*tblSales[Revenue])</f>
        <v>1219500</v>
      </c>
    </row>
    <row r="11" spans="1:11" x14ac:dyDescent="0.3">
      <c r="A11" t="s">
        <v>72</v>
      </c>
      <c r="B11" s="12" cm="1">
        <f t="array" ref="B11">SUMPRODUCT((tblSales[Category]="Clothing")*IF(Dashboard!D2="All",1,tblSales[Region]=Dashboard!D2)*tblSales[Revenue])</f>
        <v>528900</v>
      </c>
    </row>
  </sheetData>
  <sortState xmlns:xlrd2="http://schemas.microsoft.com/office/spreadsheetml/2017/richdata2" ref="D1:E6">
    <sortCondition descending="1" ref="E1:E6" customList="Largest to smallest"/>
  </sortState>
  <conditionalFormatting sqref="K2:K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PivotCharts</vt:lpstr>
      <vt:lpstr>SalesData</vt:lpstr>
      <vt:lpstr>Targets</vt:lpstr>
      <vt:lpstr>Dashboard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Supreet</dc:creator>
  <cp:lastModifiedBy>Supreet</cp:lastModifiedBy>
  <dcterms:created xsi:type="dcterms:W3CDTF">2026-06-03T10:48:22Z</dcterms:created>
  <dcterms:modified xsi:type="dcterms:W3CDTF">2026-06-13T15:59:09Z</dcterms:modified>
</cp:coreProperties>
</file>